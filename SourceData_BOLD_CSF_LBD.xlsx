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YNABOOK/BOLD_CSF/"/>
    </mc:Choice>
  </mc:AlternateContent>
  <xr:revisionPtr revIDLastSave="0" documentId="13_ncr:1_{4C51E857-E11B-B046-AAF8-86C5C8F6847C}" xr6:coauthVersionLast="47" xr6:coauthVersionMax="47" xr10:uidLastSave="{00000000-0000-0000-0000-000000000000}"/>
  <bookViews>
    <workbookView xWindow="34140" yWindow="2140" windowWidth="26840" windowHeight="14840" activeTab="3" xr2:uid="{6D325EA8-6335-7047-8A1F-061E0608313E}"/>
  </bookViews>
  <sheets>
    <sheet name="Clinical Cognitive" sheetId="1" r:id="rId1"/>
    <sheet name="Coupling" sheetId="2" r:id="rId2"/>
    <sheet name="Volumes" sheetId="5" r:id="rId3"/>
    <sheet name="Data Dictionary" sheetId="4" r:id="rId4"/>
  </sheets>
  <definedNames>
    <definedName name="_xlnm._FilterDatabase" localSheetId="0" hidden="1">'Clinical Cognitive'!$A$1:$AJ$40</definedName>
    <definedName name="_xlnm._FilterDatabase" localSheetId="1" hidden="1">Coupling!$A$1:$N$40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0" i="1" l="1"/>
  <c r="AD40" i="1"/>
  <c r="AB40" i="1"/>
  <c r="Z40" i="1"/>
  <c r="AF39" i="1"/>
  <c r="AD39" i="1"/>
  <c r="AB39" i="1"/>
  <c r="Z39" i="1"/>
  <c r="AF38" i="1"/>
  <c r="AD38" i="1"/>
  <c r="AB38" i="1"/>
  <c r="Z38" i="1"/>
  <c r="AF37" i="1"/>
  <c r="AD37" i="1"/>
  <c r="AB37" i="1"/>
  <c r="Z37" i="1"/>
  <c r="AF23" i="1"/>
  <c r="AD23" i="1"/>
  <c r="AB23" i="1"/>
  <c r="Z23" i="1"/>
  <c r="AF22" i="1"/>
  <c r="AD22" i="1"/>
  <c r="AB22" i="1"/>
  <c r="Z22" i="1"/>
  <c r="AF21" i="1"/>
  <c r="AD21" i="1"/>
  <c r="AB21" i="1"/>
  <c r="Z21" i="1"/>
  <c r="AF20" i="1"/>
  <c r="AD20" i="1"/>
  <c r="AB20" i="1"/>
  <c r="Z20" i="1"/>
  <c r="AF19" i="1"/>
  <c r="AD19" i="1"/>
  <c r="AB19" i="1"/>
  <c r="Z19" i="1"/>
  <c r="AF18" i="1"/>
  <c r="AD18" i="1"/>
  <c r="AB18" i="1"/>
  <c r="Z18" i="1"/>
  <c r="AF17" i="1"/>
  <c r="AD17" i="1"/>
  <c r="AB17" i="1"/>
  <c r="Z17" i="1"/>
  <c r="AF15" i="1"/>
  <c r="AD15" i="1"/>
  <c r="AB15" i="1"/>
  <c r="Z15" i="1"/>
  <c r="AF14" i="1"/>
  <c r="AD14" i="1"/>
  <c r="AB14" i="1"/>
  <c r="Z14" i="1"/>
  <c r="AF13" i="1"/>
  <c r="AD13" i="1"/>
  <c r="AB13" i="1"/>
  <c r="Z13" i="1"/>
  <c r="AF12" i="1"/>
  <c r="AD12" i="1"/>
  <c r="AB12" i="1"/>
  <c r="Z12" i="1"/>
  <c r="AF11" i="1"/>
  <c r="AD11" i="1"/>
  <c r="AB11" i="1"/>
  <c r="Z11" i="1"/>
  <c r="AF10" i="1"/>
  <c r="AD10" i="1"/>
  <c r="AB10" i="1"/>
  <c r="Z10" i="1"/>
  <c r="AF9" i="1"/>
  <c r="AD9" i="1"/>
  <c r="AB9" i="1"/>
  <c r="Z9" i="1"/>
  <c r="AF8" i="1"/>
  <c r="AD8" i="1"/>
  <c r="AB8" i="1"/>
  <c r="Z8" i="1"/>
  <c r="AF7" i="1"/>
  <c r="AD7" i="1"/>
  <c r="AB7" i="1"/>
  <c r="Z7" i="1"/>
  <c r="AF4" i="1"/>
  <c r="AD4" i="1"/>
  <c r="AB4" i="1"/>
  <c r="Z4" i="1"/>
  <c r="AF36" i="1"/>
  <c r="AD36" i="1"/>
  <c r="AB36" i="1"/>
  <c r="Z36" i="1"/>
  <c r="AF35" i="1"/>
  <c r="AD35" i="1"/>
  <c r="AB35" i="1"/>
  <c r="Z35" i="1"/>
  <c r="AF34" i="1"/>
  <c r="AD34" i="1"/>
  <c r="AB34" i="1"/>
  <c r="Z34" i="1"/>
  <c r="AF33" i="1"/>
  <c r="AD33" i="1"/>
  <c r="AB33" i="1"/>
  <c r="Z33" i="1"/>
  <c r="AF32" i="1"/>
  <c r="AD32" i="1"/>
  <c r="AB32" i="1"/>
  <c r="Z32" i="1"/>
  <c r="AF31" i="1"/>
  <c r="AD31" i="1"/>
  <c r="AB31" i="1"/>
  <c r="Z31" i="1"/>
  <c r="AF30" i="1"/>
  <c r="AD30" i="1"/>
  <c r="AB30" i="1"/>
  <c r="Z30" i="1"/>
  <c r="AF29" i="1"/>
  <c r="AD29" i="1"/>
  <c r="AB29" i="1"/>
  <c r="Z29" i="1"/>
  <c r="AF28" i="1"/>
  <c r="AD28" i="1"/>
  <c r="AB28" i="1"/>
  <c r="Z28" i="1"/>
  <c r="AF27" i="1"/>
  <c r="AD27" i="1"/>
  <c r="AB27" i="1"/>
  <c r="Z27" i="1"/>
  <c r="AF26" i="1"/>
  <c r="AD26" i="1"/>
  <c r="AB26" i="1"/>
  <c r="Z26" i="1"/>
  <c r="AF25" i="1"/>
  <c r="AD25" i="1"/>
  <c r="AB25" i="1"/>
  <c r="Z25" i="1"/>
  <c r="AF24" i="1"/>
  <c r="AD24" i="1"/>
  <c r="AB24" i="1"/>
  <c r="Z24" i="1"/>
</calcChain>
</file>

<file path=xl/sharedStrings.xml><?xml version="1.0" encoding="utf-8"?>
<sst xmlns="http://schemas.openxmlformats.org/spreadsheetml/2006/main" count="802" uniqueCount="152">
  <si>
    <t>Sub</t>
  </si>
  <si>
    <t>xCorr</t>
  </si>
  <si>
    <t>Diagnosis</t>
  </si>
  <si>
    <t>Age</t>
  </si>
  <si>
    <t>Sex</t>
  </si>
  <si>
    <t>MMSE</t>
  </si>
  <si>
    <t>MoCA</t>
  </si>
  <si>
    <t>EducationYears</t>
  </si>
  <si>
    <t>meanFD</t>
  </si>
  <si>
    <t>TIV</t>
  </si>
  <si>
    <t>DiseaseDuration</t>
  </si>
  <si>
    <t>DDE</t>
  </si>
  <si>
    <t>MDSUPDRS_I</t>
  </si>
  <si>
    <t>MDSUPDRS_II</t>
  </si>
  <si>
    <t>MDSUPDRS_III</t>
  </si>
  <si>
    <t>MDSUPDRS_IV</t>
  </si>
  <si>
    <t>CAF</t>
  </si>
  <si>
    <t>PsychQ_Tot</t>
  </si>
  <si>
    <t>CholinergicMed</t>
  </si>
  <si>
    <t>Vis</t>
  </si>
  <si>
    <t>SomMot</t>
  </si>
  <si>
    <t>DorsAttn</t>
  </si>
  <si>
    <t>SalVentAttn</t>
  </si>
  <si>
    <t>Limbic</t>
  </si>
  <si>
    <t>Cont</t>
  </si>
  <si>
    <t>Default</t>
  </si>
  <si>
    <t>Unimodal</t>
  </si>
  <si>
    <t>Attentional</t>
  </si>
  <si>
    <t>Transmodal</t>
  </si>
  <si>
    <t>DSF</t>
  </si>
  <si>
    <t>DSF_z</t>
  </si>
  <si>
    <t>DSB</t>
  </si>
  <si>
    <t>DSB_z</t>
  </si>
  <si>
    <t>LM1_raw</t>
  </si>
  <si>
    <t>LM1_z</t>
  </si>
  <si>
    <t>LM2_raw</t>
  </si>
  <si>
    <t>LM2_z</t>
  </si>
  <si>
    <t>TMTA_raw</t>
  </si>
  <si>
    <t>TMTA_z</t>
  </si>
  <si>
    <t>TMTB_raw</t>
  </si>
  <si>
    <t>TMTB_z</t>
  </si>
  <si>
    <t>TotalGrayVol</t>
  </si>
  <si>
    <t>LBD</t>
  </si>
  <si>
    <t>PD</t>
  </si>
  <si>
    <t>/</t>
  </si>
  <si>
    <t>Control</t>
  </si>
  <si>
    <t>DLB</t>
  </si>
  <si>
    <t>Group</t>
  </si>
  <si>
    <t>MDSUPDRS_VH</t>
  </si>
  <si>
    <t>deidentified_sub01</t>
  </si>
  <si>
    <t>deidentified_sub02</t>
  </si>
  <si>
    <t>deidentified_sub03</t>
  </si>
  <si>
    <t>deidentified_sub04</t>
  </si>
  <si>
    <t>deidentified_sub05</t>
  </si>
  <si>
    <t>deidentified_sub06</t>
  </si>
  <si>
    <t>deidentified_sub07</t>
  </si>
  <si>
    <t>deidentified_sub08</t>
  </si>
  <si>
    <t>deidentified_sub09</t>
  </si>
  <si>
    <t>deidentified_sub10</t>
  </si>
  <si>
    <t>deidentified_sub11</t>
  </si>
  <si>
    <t>deidentified_sub12</t>
  </si>
  <si>
    <t>deidentified_sub13</t>
  </si>
  <si>
    <t>deidentified_sub14</t>
  </si>
  <si>
    <t>deidentified_sub15</t>
  </si>
  <si>
    <t>deidentified_sub16</t>
  </si>
  <si>
    <t>deidentified_sub17</t>
  </si>
  <si>
    <t>deidentified_sub18</t>
  </si>
  <si>
    <t>deidentified_sub19</t>
  </si>
  <si>
    <t>deidentified_sub20</t>
  </si>
  <si>
    <t>deidentified_sub21</t>
  </si>
  <si>
    <t>deidentified_sub22</t>
  </si>
  <si>
    <t>deidentified_sub23</t>
  </si>
  <si>
    <t>deidentified_sub24</t>
  </si>
  <si>
    <t>deidentified_sub25</t>
  </si>
  <si>
    <t>deidentified_sub26</t>
  </si>
  <si>
    <t>deidentified_sub27</t>
  </si>
  <si>
    <t>deidentified_sub28</t>
  </si>
  <si>
    <t>deidentified_sub29</t>
  </si>
  <si>
    <t>deidentified_sub30</t>
  </si>
  <si>
    <t>deidentified_sub31</t>
  </si>
  <si>
    <t>deidentified_sub32</t>
  </si>
  <si>
    <t>deidentified_sub33</t>
  </si>
  <si>
    <t>deidentified_sub34</t>
  </si>
  <si>
    <t>deidentified_sub35</t>
  </si>
  <si>
    <t>deidentified_sub36</t>
  </si>
  <si>
    <t>deidentified_sub37</t>
  </si>
  <si>
    <t>deidentified_sub38</t>
  </si>
  <si>
    <t>deidentified_sub39</t>
  </si>
  <si>
    <t>BF_TIVadjusted</t>
  </si>
  <si>
    <t>GM_TIVadjusted</t>
  </si>
  <si>
    <t>HY</t>
  </si>
  <si>
    <t>Demongraphics</t>
  </si>
  <si>
    <t>Variable Name</t>
  </si>
  <si>
    <t>Description</t>
  </si>
  <si>
    <t>Clinical</t>
  </si>
  <si>
    <t>MDSUPDRS</t>
  </si>
  <si>
    <t>PsychQ</t>
  </si>
  <si>
    <t>SCOPA_S</t>
  </si>
  <si>
    <t>Cognitive</t>
  </si>
  <si>
    <t>LM1</t>
  </si>
  <si>
    <t>LM2</t>
  </si>
  <si>
    <t>TMTA</t>
  </si>
  <si>
    <t>TMTB</t>
  </si>
  <si>
    <t>Coupling</t>
  </si>
  <si>
    <t>Global</t>
  </si>
  <si>
    <t>Volumes</t>
  </si>
  <si>
    <t>Network: Vis, SomMot, DorsAttn, SalVentAttn, Limbic, Cont, Default</t>
  </si>
  <si>
    <t>DSB_raw</t>
  </si>
  <si>
    <t>DSF_raw</t>
  </si>
  <si>
    <t>SCOPA_S_Night</t>
  </si>
  <si>
    <t>SCOPA_S_Day</t>
  </si>
  <si>
    <t>PsychQ_S1</t>
  </si>
  <si>
    <t>PsychQ_S2</t>
  </si>
  <si>
    <t>Control or Lewy body disorder (LBD) where LBD is the combined Parkinson's disease and dementia with Lewy bodies cohort</t>
  </si>
  <si>
    <t>Control, Parkinson's Disease (PD), Dementia with Lewy bodies (DLB)</t>
  </si>
  <si>
    <t>Age (years) at date of MRI scan</t>
  </si>
  <si>
    <t>0: Male, 1: Female</t>
  </si>
  <si>
    <t>Years of formal education</t>
  </si>
  <si>
    <t>Years from formal diagnosis to date of MRI scan</t>
  </si>
  <si>
    <t xml:space="preserve">Hoehn and Yahr scale </t>
  </si>
  <si>
    <t>Dopamine dose equilavence score</t>
  </si>
  <si>
    <t>0: Not actively using cholinesterase inhibitor therapy, 1: On cholinesterase inhibitor therapy</t>
  </si>
  <si>
    <t>Question 2 of MDS-UPDRS Part I
("Over the past week have you seen things that were not really there?")
0: No halluicnations or psychotic behaviour
1: Slight (Illusions or non-formed hallucinations)
2: Mild (Formed hallucinations without loss of insight)
3: Moderate (Formed hallucinations with loss of insight)
4: Severe (Patient has delusions or paranoia)</t>
  </si>
  <si>
    <t>Montreal Cognitive Assessment</t>
  </si>
  <si>
    <t>Reference</t>
  </si>
  <si>
    <t>Clinician Assessment of Fluctuation
Severity score (0-16) is calculated as product of frequency (1-4)  and duration scores (0-4), scores &gt;5 indicate fluctuating cognition</t>
  </si>
  <si>
    <t>Scale for Outcomes in Parkinson's Disease - Sleep
Nightime scale (SCOPA_S_Night)
Daytime Sleepiness Scale (SCOPA_S_Day)</t>
  </si>
  <si>
    <t>Psychosis and Hallucinations Questionnaire
Section 1 (PsychQ_S1): Hallucinations and Psychosis 
Section 2 (PsychQ_S2): Hallucination Phenotype (Attention and Sleep)
Total score (PsychQ_Tot)</t>
  </si>
  <si>
    <t xml:space="preserve">Wechsler Memory Scale Digit Span Forwards
Raw score (DSF_raw)
z score (DSF_z): Normalised against healthy control cohort </t>
  </si>
  <si>
    <t xml:space="preserve">Wechsler Memory Scale Digit Span Backwards
Raw score (DSB_raw)
z score (DSB_z): Normalised against healthy control cohort </t>
  </si>
  <si>
    <t xml:space="preserve">Wechsler Memory Scale Logical Memory Part I: immediate recall
Raw score (LM1_raw)
z score (LM1_z): Normalised against healthy control cohort </t>
  </si>
  <si>
    <t xml:space="preserve">Wechsler Memory Scale Logical Memory Part II: delayed recall
Raw score (LM2_raw)
z score (LM2_z): Normalised against healthy control cohort </t>
  </si>
  <si>
    <t>Trail Making Test Part A
Raw score in seconds (TMTA_raw)
z score (TMTA_z): Normalised against healthy control cohort and negated so higher values equal better performance</t>
  </si>
  <si>
    <t>Trail Making Test Part B
Raw score in seconds (TMTB_raw)
z score (TMTB_z): Normalised against healthy control cohort and negated so higher values equal better performance</t>
  </si>
  <si>
    <t>Movement Disorder Society Unified Parkinson's Disease Rating Scale
Part I: Non-motor experiences of daily living
Part II: Motor experiences of daily living
Part III: Motor examination
Part IV: Motor complications</t>
  </si>
  <si>
    <t>Striatum_TIVadjusted</t>
  </si>
  <si>
    <t>BrainstemAAN_TIVadjusted</t>
  </si>
  <si>
    <t>Total cortical and subcortical gray matter volume from Freesurfer segmentation</t>
  </si>
  <si>
    <t>Estimated total intracranial volume (TIV)</t>
  </si>
  <si>
    <t>Total gray matter volume adjusted for TIV using residual correction method</t>
  </si>
  <si>
    <t>Bilateral basal forebrain volume adjusted for TIV using residual correction method. Segemented with Freesurfer toolbox ScLimbic</t>
  </si>
  <si>
    <t>Brainstem volume of all ascending arousal network nuclei adjusted for TIV using residual correction method. Segemented with Freesurfer toolbox SegmentAAN</t>
  </si>
  <si>
    <t>Bilateral striatum volume (caudate, putamen, accumbens) adjusted for TIV using residual correction method. Segemented with Freesurfer</t>
  </si>
  <si>
    <t xml:space="preserve">Cross-correlation of global BOLD timeseries and CSF signal at negative peak </t>
  </si>
  <si>
    <t>Average cross-correlation of parcel BOLD timeseries and CSF. Visual and somatomotor</t>
  </si>
  <si>
    <t>Average cross-correlation of parcel BOLD timeseries and CSF. Dorsal attention and ventral attention</t>
  </si>
  <si>
    <t>Average cross-correlation of parcel BOLD timeseries and CSF. Frontoparietal and default mode</t>
  </si>
  <si>
    <t>Mean framewise displacement (head motion metric)</t>
  </si>
  <si>
    <t>Resting state functional networks. Vis, Visual network; SomMot, Somatomotor network; DorsAttn, Dorsal Attention network; SalVentAttn, Ventral Attention network; Cont, Frontoparietal Control Network; Default, Default Mode network</t>
  </si>
  <si>
    <t>Yeo  et al. (2011) The organization of the human cerebral cortex estimated by intrinsic functional connectivity. J Neurophysiol. doi:10.1152/jn.00338.2011</t>
  </si>
  <si>
    <t>Greve et al. (2021) A deep learning toolbox for automatic segmentation of subcortical limbic structures from MRI images. Neuroimage. doi:10.1016/j.neuroimage.2021.118610</t>
  </si>
  <si>
    <t>Olchanyi  et al. (2025) Automated MRI Segmentation of Brainstem Nuclei Critical to Consciousness. Hum Brain Mapp. doi:10.1002/hbm.70357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</si>
</sst>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name val="Calibri"/>
      <family val="2"/>
    </font>
    <font>
      <sz val="12"/>
      <color rgb="FF000000"/>
      <name val="Helvetica Neue"/>
      <family val="2"/>
    </font>
    <font>
      <sz val="12"/>
      <color rgb="FF000000"/>
      <name val="Aptos Narrow"/>
    </font>
    <font>
      <b/>
      <sz val="12"/>
      <color rgb="FF000000"/>
      <name val="Aptos Display"/>
      <scheme val="major"/>
    </font>
    <font>
      <sz val="12"/>
      <color rgb="FF000000"/>
      <name val="Aptos Display"/>
      <scheme val="major"/>
    </font>
    <font>
      <sz val="12"/>
      <color theme="1"/>
      <name val="Aptos Display"/>
      <scheme val="major"/>
    </font>
    <font>
      <sz val="12"/>
      <color theme="1"/>
      <name val="Aptos Narrow"/>
    </font>
    <font>
      <b/>
      <sz val="12"/>
      <color rgb="FF000000"/>
      <name val="Aptos Narrow"/>
    </font>
    <font>
      <sz val="8"/>
      <name val="Aptos Narrow"/>
      <family val="2"/>
      <scheme val="minor"/>
    </font>
    <font>
      <b/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14" fillId="0" borderId="0" xfId="0" applyFont="1"/>
    <xf numFmtId="0" fontId="2" fillId="0" borderId="0" xfId="0" applyFont="1"/>
    <xf numFmtId="2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top"/>
    </xf>
    <xf numFmtId="0" fontId="0" fillId="0" borderId="0" xfId="0" applyAlignment="1">
      <alignment wrapText="1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483F9-B6A0-CD4B-8243-BE7B7E16442C}">
  <dimension ref="A1:BB40"/>
  <sheetViews>
    <sheetView workbookViewId="0">
      <selection activeCell="G25" sqref="G25"/>
    </sheetView>
  </sheetViews>
  <sheetFormatPr baseColWidth="10" defaultColWidth="21.1640625" defaultRowHeight="16" x14ac:dyDescent="0.2"/>
  <cols>
    <col min="1" max="8" width="21.1640625" style="2"/>
    <col min="9" max="9" width="21.1640625" style="27"/>
    <col min="10" max="10" width="21.1640625" style="11"/>
    <col min="11" max="25" width="21.1640625" style="2"/>
    <col min="26" max="26" width="21.1640625" style="29"/>
    <col min="27" max="27" width="21.1640625" style="2"/>
    <col min="28" max="28" width="21.1640625" style="29"/>
    <col min="29" max="29" width="21.1640625" style="2"/>
    <col min="30" max="30" width="21.1640625" style="29"/>
    <col min="31" max="31" width="21.1640625" style="2"/>
    <col min="32" max="32" width="21.1640625" style="29"/>
    <col min="33" max="33" width="21.1640625" style="2"/>
    <col min="34" max="34" width="21.1640625" style="29"/>
    <col min="35" max="35" width="21.1640625" style="2"/>
    <col min="36" max="36" width="21.1640625" style="29"/>
    <col min="37" max="16384" width="21.1640625" style="2"/>
  </cols>
  <sheetData>
    <row r="1" spans="1:36" s="1" customFormat="1" x14ac:dyDescent="0.2">
      <c r="A1" s="1" t="s">
        <v>0</v>
      </c>
      <c r="B1" s="1" t="s">
        <v>47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5" t="s">
        <v>8</v>
      </c>
      <c r="J1" s="22" t="s">
        <v>10</v>
      </c>
      <c r="K1" s="1" t="s">
        <v>11</v>
      </c>
      <c r="L1" s="1" t="s">
        <v>18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90</v>
      </c>
      <c r="R1" s="1" t="s">
        <v>48</v>
      </c>
      <c r="S1" s="1" t="s">
        <v>16</v>
      </c>
      <c r="T1" s="1" t="s">
        <v>111</v>
      </c>
      <c r="U1" s="1" t="s">
        <v>112</v>
      </c>
      <c r="V1" s="1" t="s">
        <v>17</v>
      </c>
      <c r="W1" s="23" t="s">
        <v>109</v>
      </c>
      <c r="X1" s="23" t="s">
        <v>110</v>
      </c>
      <c r="Y1" s="1" t="s">
        <v>108</v>
      </c>
      <c r="Z1" s="28" t="s">
        <v>30</v>
      </c>
      <c r="AA1" s="1" t="s">
        <v>107</v>
      </c>
      <c r="AB1" s="28" t="s">
        <v>32</v>
      </c>
      <c r="AC1" s="1" t="s">
        <v>33</v>
      </c>
      <c r="AD1" s="28" t="s">
        <v>34</v>
      </c>
      <c r="AE1" s="1" t="s">
        <v>35</v>
      </c>
      <c r="AF1" s="28" t="s">
        <v>36</v>
      </c>
      <c r="AG1" s="1" t="s">
        <v>37</v>
      </c>
      <c r="AH1" s="28" t="s">
        <v>38</v>
      </c>
      <c r="AI1" s="1" t="s">
        <v>39</v>
      </c>
      <c r="AJ1" s="28" t="s">
        <v>40</v>
      </c>
    </row>
    <row r="2" spans="1:36" x14ac:dyDescent="0.2">
      <c r="A2" s="2" t="s">
        <v>49</v>
      </c>
      <c r="B2" s="13" t="s">
        <v>45</v>
      </c>
      <c r="C2" s="13" t="s">
        <v>45</v>
      </c>
      <c r="D2" s="4">
        <v>70</v>
      </c>
      <c r="E2" s="4">
        <v>1</v>
      </c>
      <c r="F2" s="2" t="s">
        <v>44</v>
      </c>
      <c r="G2" s="2">
        <v>26</v>
      </c>
      <c r="H2" s="2">
        <v>10</v>
      </c>
      <c r="I2" s="26">
        <v>0.47964499999999999</v>
      </c>
      <c r="J2" s="11" t="s">
        <v>44</v>
      </c>
      <c r="K2" s="2" t="s">
        <v>44</v>
      </c>
      <c r="L2" s="2" t="s">
        <v>44</v>
      </c>
      <c r="M2" s="2" t="s">
        <v>44</v>
      </c>
      <c r="N2" s="2" t="s">
        <v>44</v>
      </c>
      <c r="O2" s="2" t="s">
        <v>44</v>
      </c>
      <c r="P2" s="2" t="s">
        <v>44</v>
      </c>
      <c r="Q2" s="2" t="s">
        <v>44</v>
      </c>
      <c r="R2" s="2" t="s">
        <v>44</v>
      </c>
      <c r="S2" s="2" t="s">
        <v>44</v>
      </c>
      <c r="T2" s="2" t="s">
        <v>44</v>
      </c>
      <c r="U2" s="2" t="s">
        <v>44</v>
      </c>
      <c r="V2" s="2" t="s">
        <v>44</v>
      </c>
      <c r="W2" s="2" t="s">
        <v>44</v>
      </c>
      <c r="X2" s="2" t="s">
        <v>44</v>
      </c>
      <c r="Y2" s="2" t="s">
        <v>44</v>
      </c>
      <c r="Z2" s="29" t="s">
        <v>44</v>
      </c>
      <c r="AA2" s="2" t="s">
        <v>44</v>
      </c>
      <c r="AB2" s="29" t="s">
        <v>44</v>
      </c>
      <c r="AC2" s="2" t="s">
        <v>44</v>
      </c>
      <c r="AD2" s="29" t="s">
        <v>44</v>
      </c>
      <c r="AE2" s="2" t="s">
        <v>44</v>
      </c>
      <c r="AF2" s="29" t="s">
        <v>44</v>
      </c>
      <c r="AG2" s="2" t="s">
        <v>44</v>
      </c>
      <c r="AH2" s="29" t="s">
        <v>44</v>
      </c>
      <c r="AI2" s="2" t="s">
        <v>44</v>
      </c>
      <c r="AJ2" s="29" t="s">
        <v>44</v>
      </c>
    </row>
    <row r="3" spans="1:36" x14ac:dyDescent="0.2">
      <c r="A3" s="2" t="s">
        <v>50</v>
      </c>
      <c r="B3" s="13" t="s">
        <v>45</v>
      </c>
      <c r="C3" s="13" t="s">
        <v>45</v>
      </c>
      <c r="D3" s="4">
        <v>67</v>
      </c>
      <c r="E3" s="4">
        <v>1</v>
      </c>
      <c r="F3" s="2" t="s">
        <v>44</v>
      </c>
      <c r="G3" s="2">
        <v>30</v>
      </c>
      <c r="H3" s="2">
        <v>17</v>
      </c>
      <c r="I3" s="26">
        <v>4.9234507064748162E-2</v>
      </c>
      <c r="J3" s="11" t="s">
        <v>44</v>
      </c>
      <c r="K3" s="2" t="s">
        <v>44</v>
      </c>
      <c r="L3" s="2" t="s">
        <v>44</v>
      </c>
      <c r="M3" s="2" t="s">
        <v>44</v>
      </c>
      <c r="N3" s="2" t="s">
        <v>44</v>
      </c>
      <c r="O3" s="2" t="s">
        <v>44</v>
      </c>
      <c r="P3" s="2" t="s">
        <v>44</v>
      </c>
      <c r="Q3" s="2" t="s">
        <v>44</v>
      </c>
      <c r="R3" s="2" t="s">
        <v>44</v>
      </c>
      <c r="S3" s="2" t="s">
        <v>44</v>
      </c>
      <c r="T3" s="2" t="s">
        <v>44</v>
      </c>
      <c r="U3" s="2" t="s">
        <v>44</v>
      </c>
      <c r="V3" s="2" t="s">
        <v>44</v>
      </c>
      <c r="W3" s="2" t="s">
        <v>44</v>
      </c>
      <c r="X3" s="2" t="s">
        <v>44</v>
      </c>
      <c r="Y3" s="2" t="s">
        <v>44</v>
      </c>
      <c r="Z3" s="29" t="s">
        <v>44</v>
      </c>
      <c r="AA3" s="2" t="s">
        <v>44</v>
      </c>
      <c r="AB3" s="29" t="s">
        <v>44</v>
      </c>
      <c r="AC3" s="2" t="s">
        <v>44</v>
      </c>
      <c r="AD3" s="29" t="s">
        <v>44</v>
      </c>
      <c r="AE3" s="2" t="s">
        <v>44</v>
      </c>
      <c r="AF3" s="29" t="s">
        <v>44</v>
      </c>
      <c r="AG3" s="2" t="s">
        <v>44</v>
      </c>
      <c r="AH3" s="29" t="s">
        <v>44</v>
      </c>
      <c r="AI3" s="2" t="s">
        <v>44</v>
      </c>
      <c r="AJ3" s="29" t="s">
        <v>44</v>
      </c>
    </row>
    <row r="4" spans="1:36" x14ac:dyDescent="0.2">
      <c r="A4" s="2" t="s">
        <v>51</v>
      </c>
      <c r="B4" s="13" t="s">
        <v>45</v>
      </c>
      <c r="C4" s="13" t="s">
        <v>45</v>
      </c>
      <c r="D4" s="4">
        <v>61</v>
      </c>
      <c r="E4" s="4">
        <v>1</v>
      </c>
      <c r="F4" s="2">
        <v>28</v>
      </c>
      <c r="G4" s="2">
        <v>28</v>
      </c>
      <c r="H4" s="2">
        <v>17</v>
      </c>
      <c r="I4" s="26">
        <v>0.119245941618705</v>
      </c>
      <c r="J4" s="11" t="s">
        <v>44</v>
      </c>
      <c r="K4" s="2" t="s">
        <v>44</v>
      </c>
      <c r="L4" s="2" t="s">
        <v>44</v>
      </c>
      <c r="M4" s="2" t="s">
        <v>44</v>
      </c>
      <c r="N4" s="2" t="s">
        <v>44</v>
      </c>
      <c r="O4" s="2" t="s">
        <v>44</v>
      </c>
      <c r="P4" s="2" t="s">
        <v>44</v>
      </c>
      <c r="Q4" s="2" t="s">
        <v>44</v>
      </c>
      <c r="R4" s="2" t="s">
        <v>44</v>
      </c>
      <c r="S4" s="2" t="s">
        <v>44</v>
      </c>
      <c r="T4" s="2" t="s">
        <v>44</v>
      </c>
      <c r="U4" s="2" t="s">
        <v>44</v>
      </c>
      <c r="V4" s="2" t="s">
        <v>44</v>
      </c>
      <c r="W4" s="2" t="s">
        <v>44</v>
      </c>
      <c r="X4" s="2" t="s">
        <v>44</v>
      </c>
      <c r="Y4" s="2">
        <v>11</v>
      </c>
      <c r="Z4" s="29">
        <f>STANDARDIZE(Y4,10.09,2.13)</f>
        <v>0.42723004694835692</v>
      </c>
      <c r="AA4" s="2">
        <v>9</v>
      </c>
      <c r="AB4" s="29">
        <f>STANDARDIZE(AA4,6.37,1.78)</f>
        <v>1.4775280898876404</v>
      </c>
      <c r="AC4" s="2">
        <v>52</v>
      </c>
      <c r="AD4" s="29">
        <f>STANDARDIZE(AC4,33.86,12.81)</f>
        <v>1.4160811865729899</v>
      </c>
      <c r="AE4" s="2">
        <v>30</v>
      </c>
      <c r="AF4" s="29">
        <f>STANDARDIZE(AE4,18.57,8.569)</f>
        <v>1.3338779320807561</v>
      </c>
      <c r="AG4" s="2">
        <v>15</v>
      </c>
      <c r="AH4" s="29">
        <v>0.82676022259859672</v>
      </c>
      <c r="AI4" s="2">
        <v>47</v>
      </c>
      <c r="AJ4" s="29">
        <v>0.79002395992158581</v>
      </c>
    </row>
    <row r="5" spans="1:36" x14ac:dyDescent="0.2">
      <c r="A5" s="2" t="s">
        <v>52</v>
      </c>
      <c r="B5" s="13" t="s">
        <v>45</v>
      </c>
      <c r="C5" s="13" t="s">
        <v>45</v>
      </c>
      <c r="D5" s="4">
        <v>77</v>
      </c>
      <c r="E5" s="4">
        <v>1</v>
      </c>
      <c r="F5" s="2" t="s">
        <v>44</v>
      </c>
      <c r="G5" s="2">
        <v>29</v>
      </c>
      <c r="H5" s="2">
        <v>15</v>
      </c>
      <c r="I5" s="26">
        <v>0.21335132151079139</v>
      </c>
      <c r="J5" s="11" t="s">
        <v>44</v>
      </c>
      <c r="K5" s="2" t="s">
        <v>44</v>
      </c>
      <c r="L5" s="2" t="s">
        <v>44</v>
      </c>
      <c r="M5" s="2" t="s">
        <v>44</v>
      </c>
      <c r="N5" s="2" t="s">
        <v>44</v>
      </c>
      <c r="O5" s="2" t="s">
        <v>44</v>
      </c>
      <c r="P5" s="2" t="s">
        <v>44</v>
      </c>
      <c r="Q5" s="2" t="s">
        <v>44</v>
      </c>
      <c r="R5" s="2" t="s">
        <v>44</v>
      </c>
      <c r="S5" s="2" t="s">
        <v>44</v>
      </c>
      <c r="T5" s="2" t="s">
        <v>44</v>
      </c>
      <c r="U5" s="2" t="s">
        <v>44</v>
      </c>
      <c r="V5" s="2" t="s">
        <v>44</v>
      </c>
      <c r="W5" s="2" t="s">
        <v>44</v>
      </c>
      <c r="X5" s="2" t="s">
        <v>44</v>
      </c>
      <c r="Y5" s="2" t="s">
        <v>44</v>
      </c>
      <c r="Z5" s="29" t="s">
        <v>44</v>
      </c>
      <c r="AA5" s="2" t="s">
        <v>44</v>
      </c>
      <c r="AB5" s="29" t="s">
        <v>44</v>
      </c>
      <c r="AC5" s="2" t="s">
        <v>44</v>
      </c>
      <c r="AD5" s="29" t="s">
        <v>44</v>
      </c>
      <c r="AE5" s="2" t="s">
        <v>44</v>
      </c>
      <c r="AF5" s="29" t="s">
        <v>44</v>
      </c>
      <c r="AG5" s="2" t="s">
        <v>44</v>
      </c>
      <c r="AH5" s="29" t="s">
        <v>44</v>
      </c>
      <c r="AI5" s="2" t="s">
        <v>44</v>
      </c>
      <c r="AJ5" s="29" t="s">
        <v>44</v>
      </c>
    </row>
    <row r="6" spans="1:36" x14ac:dyDescent="0.2">
      <c r="A6" s="2" t="s">
        <v>53</v>
      </c>
      <c r="B6" s="13" t="s">
        <v>45</v>
      </c>
      <c r="C6" s="13" t="s">
        <v>45</v>
      </c>
      <c r="D6" s="4">
        <v>57</v>
      </c>
      <c r="E6" s="4">
        <v>1</v>
      </c>
      <c r="F6" s="2" t="s">
        <v>44</v>
      </c>
      <c r="G6" s="2">
        <v>30</v>
      </c>
      <c r="H6" s="2">
        <v>14</v>
      </c>
      <c r="I6" s="26">
        <v>0.37872058538129488</v>
      </c>
      <c r="J6" s="11" t="s">
        <v>44</v>
      </c>
      <c r="K6" s="2" t="s">
        <v>44</v>
      </c>
      <c r="L6" s="2" t="s">
        <v>44</v>
      </c>
      <c r="M6" s="2" t="s">
        <v>44</v>
      </c>
      <c r="N6" s="2" t="s">
        <v>44</v>
      </c>
      <c r="O6" s="2" t="s">
        <v>44</v>
      </c>
      <c r="P6" s="2" t="s">
        <v>44</v>
      </c>
      <c r="Q6" s="2" t="s">
        <v>44</v>
      </c>
      <c r="R6" s="2" t="s">
        <v>44</v>
      </c>
      <c r="S6" s="2" t="s">
        <v>44</v>
      </c>
      <c r="T6" s="2" t="s">
        <v>44</v>
      </c>
      <c r="U6" s="2" t="s">
        <v>44</v>
      </c>
      <c r="V6" s="2" t="s">
        <v>44</v>
      </c>
      <c r="W6" s="2" t="s">
        <v>44</v>
      </c>
      <c r="X6" s="2" t="s">
        <v>44</v>
      </c>
      <c r="Y6" s="2" t="s">
        <v>44</v>
      </c>
      <c r="Z6" s="29" t="s">
        <v>44</v>
      </c>
      <c r="AA6" s="2" t="s">
        <v>44</v>
      </c>
      <c r="AB6" s="29" t="s">
        <v>44</v>
      </c>
      <c r="AC6" s="2" t="s">
        <v>44</v>
      </c>
      <c r="AD6" s="29" t="s">
        <v>44</v>
      </c>
      <c r="AE6" s="2" t="s">
        <v>44</v>
      </c>
      <c r="AF6" s="29" t="s">
        <v>44</v>
      </c>
      <c r="AG6" s="2" t="s">
        <v>44</v>
      </c>
      <c r="AH6" s="29" t="s">
        <v>44</v>
      </c>
      <c r="AI6" s="2" t="s">
        <v>44</v>
      </c>
      <c r="AJ6" s="29" t="s">
        <v>44</v>
      </c>
    </row>
    <row r="7" spans="1:36" x14ac:dyDescent="0.2">
      <c r="A7" s="2" t="s">
        <v>54</v>
      </c>
      <c r="B7" s="13" t="s">
        <v>45</v>
      </c>
      <c r="C7" s="13" t="s">
        <v>45</v>
      </c>
      <c r="D7" s="4">
        <v>63</v>
      </c>
      <c r="E7" s="4">
        <v>1</v>
      </c>
      <c r="F7" s="2">
        <v>29</v>
      </c>
      <c r="G7" s="2">
        <v>28</v>
      </c>
      <c r="H7" s="2">
        <v>12</v>
      </c>
      <c r="I7" s="26">
        <v>4.308254287625897E-2</v>
      </c>
      <c r="J7" s="11" t="s">
        <v>44</v>
      </c>
      <c r="K7" s="2" t="s">
        <v>44</v>
      </c>
      <c r="L7" s="2" t="s">
        <v>44</v>
      </c>
      <c r="M7" s="2" t="s">
        <v>44</v>
      </c>
      <c r="N7" s="2" t="s">
        <v>44</v>
      </c>
      <c r="O7" s="2" t="s">
        <v>44</v>
      </c>
      <c r="P7" s="2" t="s">
        <v>44</v>
      </c>
      <c r="Q7" s="2" t="s">
        <v>44</v>
      </c>
      <c r="R7" s="2" t="s">
        <v>44</v>
      </c>
      <c r="S7" s="2" t="s">
        <v>44</v>
      </c>
      <c r="T7" s="2" t="s">
        <v>44</v>
      </c>
      <c r="U7" s="2" t="s">
        <v>44</v>
      </c>
      <c r="V7" s="2" t="s">
        <v>44</v>
      </c>
      <c r="W7" s="2" t="s">
        <v>44</v>
      </c>
      <c r="X7" s="2" t="s">
        <v>44</v>
      </c>
      <c r="Y7" s="2">
        <v>13</v>
      </c>
      <c r="Z7" s="29">
        <f t="shared" ref="Z7:Z15" si="0">STANDARDIZE(Y7,10.09,2.13)</f>
        <v>1.3661971830985917</v>
      </c>
      <c r="AA7" s="2">
        <v>9</v>
      </c>
      <c r="AB7" s="29">
        <f t="shared" ref="AB7:AB15" si="1">STANDARDIZE(AA7,6.37,1.78)</f>
        <v>1.4775280898876404</v>
      </c>
      <c r="AC7" s="2">
        <v>45</v>
      </c>
      <c r="AD7" s="29">
        <f t="shared" ref="AD7:AD15" si="2">STANDARDIZE(AC7,33.86,12.81)</f>
        <v>0.86963309914129583</v>
      </c>
      <c r="AE7" s="2">
        <v>24</v>
      </c>
      <c r="AF7" s="29">
        <f t="shared" ref="AF7:AF15" si="3">STANDARDIZE(AE7,18.57,8.569)</f>
        <v>0.63367954253705205</v>
      </c>
      <c r="AG7" s="2">
        <v>27</v>
      </c>
      <c r="AH7" s="29">
        <v>0.53641422695378671</v>
      </c>
      <c r="AI7" s="2">
        <v>86</v>
      </c>
      <c r="AJ7" s="29">
        <v>0.36527989544761497</v>
      </c>
    </row>
    <row r="8" spans="1:36" x14ac:dyDescent="0.2">
      <c r="A8" s="2" t="s">
        <v>55</v>
      </c>
      <c r="B8" s="13" t="s">
        <v>45</v>
      </c>
      <c r="C8" s="13" t="s">
        <v>45</v>
      </c>
      <c r="D8" s="4">
        <v>68</v>
      </c>
      <c r="E8" s="4">
        <v>1</v>
      </c>
      <c r="F8" s="2">
        <v>30</v>
      </c>
      <c r="G8" s="2">
        <v>27</v>
      </c>
      <c r="H8" s="2">
        <v>15</v>
      </c>
      <c r="I8" s="26">
        <v>0.33883731590647481</v>
      </c>
      <c r="J8" s="11" t="s">
        <v>44</v>
      </c>
      <c r="K8" s="2" t="s">
        <v>44</v>
      </c>
      <c r="L8" s="2" t="s">
        <v>44</v>
      </c>
      <c r="M8" s="2" t="s">
        <v>44</v>
      </c>
      <c r="N8" s="2" t="s">
        <v>44</v>
      </c>
      <c r="O8" s="2" t="s">
        <v>44</v>
      </c>
      <c r="P8" s="2" t="s">
        <v>44</v>
      </c>
      <c r="Q8" s="2" t="s">
        <v>44</v>
      </c>
      <c r="R8" s="2" t="s">
        <v>44</v>
      </c>
      <c r="S8" s="2" t="s">
        <v>44</v>
      </c>
      <c r="T8" s="2" t="s">
        <v>44</v>
      </c>
      <c r="U8" s="2" t="s">
        <v>44</v>
      </c>
      <c r="V8" s="2" t="s">
        <v>44</v>
      </c>
      <c r="W8" s="2" t="s">
        <v>44</v>
      </c>
      <c r="X8" s="2" t="s">
        <v>44</v>
      </c>
      <c r="Y8" s="2">
        <v>13</v>
      </c>
      <c r="Z8" s="29">
        <f t="shared" si="0"/>
        <v>1.3661971830985917</v>
      </c>
      <c r="AA8" s="2">
        <v>7</v>
      </c>
      <c r="AB8" s="29">
        <f t="shared" si="1"/>
        <v>0.35393258426966284</v>
      </c>
      <c r="AC8" s="2">
        <v>45</v>
      </c>
      <c r="AD8" s="29">
        <f t="shared" si="2"/>
        <v>0.86963309914129583</v>
      </c>
      <c r="AE8" s="2">
        <v>23</v>
      </c>
      <c r="AF8" s="29">
        <f t="shared" si="3"/>
        <v>0.51697981094643475</v>
      </c>
      <c r="AG8" s="2">
        <v>23</v>
      </c>
      <c r="AH8" s="29">
        <v>0.63319622550205668</v>
      </c>
      <c r="AI8" s="2">
        <v>46</v>
      </c>
      <c r="AJ8" s="29">
        <v>0.80091483336963643</v>
      </c>
    </row>
    <row r="9" spans="1:36" x14ac:dyDescent="0.2">
      <c r="A9" s="2" t="s">
        <v>56</v>
      </c>
      <c r="B9" s="13" t="s">
        <v>45</v>
      </c>
      <c r="C9" s="13" t="s">
        <v>45</v>
      </c>
      <c r="D9" s="4">
        <v>73</v>
      </c>
      <c r="E9" s="4">
        <v>0</v>
      </c>
      <c r="F9" s="2">
        <v>30</v>
      </c>
      <c r="G9" s="2">
        <v>27</v>
      </c>
      <c r="H9" s="2">
        <v>14</v>
      </c>
      <c r="I9" s="26">
        <v>8.1177865507194219E-2</v>
      </c>
      <c r="J9" s="11" t="s">
        <v>44</v>
      </c>
      <c r="K9" s="2" t="s">
        <v>44</v>
      </c>
      <c r="L9" s="2" t="s">
        <v>44</v>
      </c>
      <c r="M9" s="2" t="s">
        <v>44</v>
      </c>
      <c r="N9" s="2" t="s">
        <v>44</v>
      </c>
      <c r="O9" s="2" t="s">
        <v>44</v>
      </c>
      <c r="P9" s="2" t="s">
        <v>44</v>
      </c>
      <c r="Q9" s="2" t="s">
        <v>44</v>
      </c>
      <c r="R9" s="2" t="s">
        <v>44</v>
      </c>
      <c r="S9" s="2" t="s">
        <v>44</v>
      </c>
      <c r="T9" s="2" t="s">
        <v>44</v>
      </c>
      <c r="U9" s="2" t="s">
        <v>44</v>
      </c>
      <c r="V9" s="2" t="s">
        <v>44</v>
      </c>
      <c r="W9" s="2" t="s">
        <v>44</v>
      </c>
      <c r="X9" s="2" t="s">
        <v>44</v>
      </c>
      <c r="Y9" s="2">
        <v>13</v>
      </c>
      <c r="Z9" s="29">
        <f t="shared" si="0"/>
        <v>1.3661971830985917</v>
      </c>
      <c r="AA9" s="2">
        <v>7</v>
      </c>
      <c r="AB9" s="29">
        <f t="shared" si="1"/>
        <v>0.35393258426966284</v>
      </c>
      <c r="AC9" s="2">
        <v>41</v>
      </c>
      <c r="AD9" s="29">
        <f t="shared" si="2"/>
        <v>0.55737704918032793</v>
      </c>
      <c r="AE9" s="2">
        <v>25</v>
      </c>
      <c r="AF9" s="29">
        <f t="shared" si="3"/>
        <v>0.75037927412766936</v>
      </c>
      <c r="AG9" s="2">
        <v>16</v>
      </c>
      <c r="AH9" s="29">
        <v>0.80256472296152925</v>
      </c>
      <c r="AI9" s="2">
        <v>31</v>
      </c>
      <c r="AJ9" s="29">
        <v>0.96427793509039439</v>
      </c>
    </row>
    <row r="10" spans="1:36" x14ac:dyDescent="0.2">
      <c r="A10" s="2" t="s">
        <v>57</v>
      </c>
      <c r="B10" s="13" t="s">
        <v>45</v>
      </c>
      <c r="C10" s="13" t="s">
        <v>45</v>
      </c>
      <c r="D10" s="4">
        <v>65</v>
      </c>
      <c r="E10" s="4">
        <v>1</v>
      </c>
      <c r="F10" s="2">
        <v>30</v>
      </c>
      <c r="G10" s="2">
        <v>28</v>
      </c>
      <c r="H10" s="2">
        <v>11</v>
      </c>
      <c r="I10" s="26">
        <v>0.13944298130215829</v>
      </c>
      <c r="J10" s="11" t="s">
        <v>44</v>
      </c>
      <c r="K10" s="2" t="s">
        <v>44</v>
      </c>
      <c r="L10" s="2" t="s">
        <v>44</v>
      </c>
      <c r="M10" s="2" t="s">
        <v>44</v>
      </c>
      <c r="N10" s="2" t="s">
        <v>44</v>
      </c>
      <c r="O10" s="2" t="s">
        <v>44</v>
      </c>
      <c r="P10" s="2" t="s">
        <v>44</v>
      </c>
      <c r="Q10" s="2" t="s">
        <v>44</v>
      </c>
      <c r="R10" s="2" t="s">
        <v>44</v>
      </c>
      <c r="S10" s="2" t="s">
        <v>44</v>
      </c>
      <c r="T10" s="2" t="s">
        <v>44</v>
      </c>
      <c r="U10" s="2" t="s">
        <v>44</v>
      </c>
      <c r="V10" s="2" t="s">
        <v>44</v>
      </c>
      <c r="W10" s="2" t="s">
        <v>44</v>
      </c>
      <c r="X10" s="2" t="s">
        <v>44</v>
      </c>
      <c r="Y10" s="2">
        <v>11</v>
      </c>
      <c r="Z10" s="29">
        <f t="shared" si="0"/>
        <v>0.42723004694835692</v>
      </c>
      <c r="AA10" s="2">
        <v>7</v>
      </c>
      <c r="AB10" s="29">
        <f t="shared" si="1"/>
        <v>0.35393258426966284</v>
      </c>
      <c r="AC10" s="2">
        <v>29</v>
      </c>
      <c r="AD10" s="29">
        <f t="shared" si="2"/>
        <v>-0.37939110070257603</v>
      </c>
      <c r="AE10" s="2">
        <v>17</v>
      </c>
      <c r="AF10" s="29">
        <f t="shared" si="3"/>
        <v>-0.18321857859726925</v>
      </c>
      <c r="AG10" s="2">
        <v>48</v>
      </c>
      <c r="AH10" s="29">
        <v>2.8308734575369025E-2</v>
      </c>
      <c r="AI10" s="2">
        <v>122</v>
      </c>
      <c r="AJ10" s="29">
        <v>-2.6791548682204246E-2</v>
      </c>
    </row>
    <row r="11" spans="1:36" x14ac:dyDescent="0.2">
      <c r="A11" s="2" t="s">
        <v>58</v>
      </c>
      <c r="B11" s="13" t="s">
        <v>45</v>
      </c>
      <c r="C11" s="13" t="s">
        <v>45</v>
      </c>
      <c r="D11" s="4">
        <v>63</v>
      </c>
      <c r="E11" s="4">
        <v>1</v>
      </c>
      <c r="F11" s="2">
        <v>30</v>
      </c>
      <c r="G11" s="2">
        <v>25</v>
      </c>
      <c r="H11" s="2">
        <v>12</v>
      </c>
      <c r="I11" s="26">
        <v>9.4151898410071919E-2</v>
      </c>
      <c r="J11" s="11" t="s">
        <v>44</v>
      </c>
      <c r="K11" s="2" t="s">
        <v>44</v>
      </c>
      <c r="L11" s="2" t="s">
        <v>44</v>
      </c>
      <c r="M11" s="2" t="s">
        <v>44</v>
      </c>
      <c r="N11" s="2" t="s">
        <v>44</v>
      </c>
      <c r="O11" s="2" t="s">
        <v>44</v>
      </c>
      <c r="P11" s="2" t="s">
        <v>44</v>
      </c>
      <c r="Q11" s="2" t="s">
        <v>44</v>
      </c>
      <c r="R11" s="2" t="s">
        <v>44</v>
      </c>
      <c r="S11" s="2" t="s">
        <v>44</v>
      </c>
      <c r="T11" s="2" t="s">
        <v>44</v>
      </c>
      <c r="U11" s="2" t="s">
        <v>44</v>
      </c>
      <c r="V11" s="2" t="s">
        <v>44</v>
      </c>
      <c r="W11" s="2" t="s">
        <v>44</v>
      </c>
      <c r="X11" s="2" t="s">
        <v>44</v>
      </c>
      <c r="Y11" s="2">
        <v>11</v>
      </c>
      <c r="Z11" s="29">
        <f t="shared" si="0"/>
        <v>0.42723004694835692</v>
      </c>
      <c r="AA11" s="2">
        <v>4</v>
      </c>
      <c r="AB11" s="29">
        <f t="shared" si="1"/>
        <v>-1.3314606741573034</v>
      </c>
      <c r="AC11" s="2">
        <v>46</v>
      </c>
      <c r="AD11" s="29">
        <f t="shared" si="2"/>
        <v>0.94769711163153791</v>
      </c>
      <c r="AE11" s="2">
        <v>25</v>
      </c>
      <c r="AF11" s="29">
        <f t="shared" si="3"/>
        <v>0.75037927412766936</v>
      </c>
      <c r="AG11" s="2">
        <v>19</v>
      </c>
      <c r="AH11" s="29">
        <v>0.72997822405032675</v>
      </c>
      <c r="AI11" s="2">
        <v>60</v>
      </c>
      <c r="AJ11" s="29">
        <v>0.64844260509692886</v>
      </c>
    </row>
    <row r="12" spans="1:36" x14ac:dyDescent="0.2">
      <c r="A12" s="2" t="s">
        <v>59</v>
      </c>
      <c r="B12" s="13" t="s">
        <v>45</v>
      </c>
      <c r="C12" s="13" t="s">
        <v>45</v>
      </c>
      <c r="D12" s="4">
        <v>54</v>
      </c>
      <c r="E12" s="4">
        <v>0</v>
      </c>
      <c r="F12" s="2">
        <v>28</v>
      </c>
      <c r="G12" s="2">
        <v>28</v>
      </c>
      <c r="H12" s="2">
        <v>15</v>
      </c>
      <c r="I12" s="26">
        <v>0.2056369812589928</v>
      </c>
      <c r="J12" s="11" t="s">
        <v>44</v>
      </c>
      <c r="K12" s="2" t="s">
        <v>44</v>
      </c>
      <c r="L12" s="2" t="s">
        <v>44</v>
      </c>
      <c r="M12" s="2" t="s">
        <v>44</v>
      </c>
      <c r="N12" s="2" t="s">
        <v>44</v>
      </c>
      <c r="O12" s="2" t="s">
        <v>44</v>
      </c>
      <c r="P12" s="2" t="s">
        <v>44</v>
      </c>
      <c r="Q12" s="2" t="s">
        <v>44</v>
      </c>
      <c r="R12" s="2" t="s">
        <v>44</v>
      </c>
      <c r="S12" s="2" t="s">
        <v>44</v>
      </c>
      <c r="T12" s="2" t="s">
        <v>44</v>
      </c>
      <c r="U12" s="2" t="s">
        <v>44</v>
      </c>
      <c r="V12" s="2" t="s">
        <v>44</v>
      </c>
      <c r="W12" s="2" t="s">
        <v>44</v>
      </c>
      <c r="X12" s="2" t="s">
        <v>44</v>
      </c>
      <c r="Y12" s="2">
        <v>9</v>
      </c>
      <c r="Z12" s="29">
        <f t="shared" si="0"/>
        <v>-0.51173708920187788</v>
      </c>
      <c r="AA12" s="2">
        <v>9</v>
      </c>
      <c r="AB12" s="29">
        <f t="shared" si="1"/>
        <v>1.4775280898876404</v>
      </c>
      <c r="AC12" s="2">
        <v>35</v>
      </c>
      <c r="AD12" s="29">
        <f t="shared" si="2"/>
        <v>8.8992974238875922E-2</v>
      </c>
      <c r="AE12" s="2">
        <v>25</v>
      </c>
      <c r="AF12" s="29">
        <f t="shared" si="3"/>
        <v>0.75037927412766936</v>
      </c>
      <c r="AG12" s="2">
        <v>40</v>
      </c>
      <c r="AH12" s="29">
        <v>0.22187273167190907</v>
      </c>
      <c r="AI12" s="2">
        <v>48</v>
      </c>
      <c r="AJ12" s="29">
        <v>0.7791330864735353</v>
      </c>
    </row>
    <row r="13" spans="1:36" x14ac:dyDescent="0.2">
      <c r="A13" s="2" t="s">
        <v>60</v>
      </c>
      <c r="B13" s="13" t="s">
        <v>45</v>
      </c>
      <c r="C13" s="13" t="s">
        <v>45</v>
      </c>
      <c r="D13" s="4">
        <v>76</v>
      </c>
      <c r="E13" s="4">
        <v>1</v>
      </c>
      <c r="F13" s="2">
        <v>30</v>
      </c>
      <c r="G13" s="2">
        <v>28</v>
      </c>
      <c r="H13" s="2">
        <v>19</v>
      </c>
      <c r="I13" s="26">
        <v>0.13561924808633091</v>
      </c>
      <c r="J13" s="11" t="s">
        <v>44</v>
      </c>
      <c r="K13" s="2" t="s">
        <v>44</v>
      </c>
      <c r="L13" s="2" t="s">
        <v>44</v>
      </c>
      <c r="M13" s="2" t="s">
        <v>44</v>
      </c>
      <c r="N13" s="2" t="s">
        <v>44</v>
      </c>
      <c r="O13" s="2" t="s">
        <v>44</v>
      </c>
      <c r="P13" s="2" t="s">
        <v>44</v>
      </c>
      <c r="Q13" s="2" t="s">
        <v>44</v>
      </c>
      <c r="R13" s="2" t="s">
        <v>44</v>
      </c>
      <c r="S13" s="2" t="s">
        <v>44</v>
      </c>
      <c r="T13" s="2" t="s">
        <v>44</v>
      </c>
      <c r="U13" s="2" t="s">
        <v>44</v>
      </c>
      <c r="V13" s="2" t="s">
        <v>44</v>
      </c>
      <c r="W13" s="2" t="s">
        <v>44</v>
      </c>
      <c r="X13" s="2" t="s">
        <v>44</v>
      </c>
      <c r="Y13" s="2">
        <v>10</v>
      </c>
      <c r="Z13" s="29">
        <f t="shared" si="0"/>
        <v>-4.22535211267605E-2</v>
      </c>
      <c r="AA13" s="2">
        <v>7</v>
      </c>
      <c r="AB13" s="29">
        <f t="shared" si="1"/>
        <v>0.35393258426966284</v>
      </c>
      <c r="AC13" s="2">
        <v>51</v>
      </c>
      <c r="AD13" s="29">
        <f t="shared" si="2"/>
        <v>1.3380171740827478</v>
      </c>
      <c r="AE13" s="2">
        <v>21</v>
      </c>
      <c r="AF13" s="29">
        <f t="shared" si="3"/>
        <v>0.28358034776520008</v>
      </c>
      <c r="AG13" s="2">
        <v>31</v>
      </c>
      <c r="AH13" s="29">
        <v>0.43963222840551663</v>
      </c>
      <c r="AI13" s="2">
        <v>66</v>
      </c>
      <c r="AJ13" s="29">
        <v>0.5830973644086257</v>
      </c>
    </row>
    <row r="14" spans="1:36" x14ac:dyDescent="0.2">
      <c r="A14" s="2" t="s">
        <v>61</v>
      </c>
      <c r="B14" s="2" t="s">
        <v>42</v>
      </c>
      <c r="C14" s="2" t="s">
        <v>46</v>
      </c>
      <c r="D14" s="12">
        <v>76.191666666666663</v>
      </c>
      <c r="E14" s="2">
        <v>0</v>
      </c>
      <c r="F14" s="2">
        <v>16</v>
      </c>
      <c r="G14" s="2">
        <v>16</v>
      </c>
      <c r="H14" s="2">
        <v>10</v>
      </c>
      <c r="I14" s="27">
        <v>0.16800000000000001</v>
      </c>
      <c r="J14" s="11">
        <v>0.2722222222222222</v>
      </c>
      <c r="K14" s="2">
        <v>0</v>
      </c>
      <c r="L14" s="2">
        <v>1</v>
      </c>
      <c r="M14" s="2">
        <v>13</v>
      </c>
      <c r="N14" s="2">
        <v>4</v>
      </c>
      <c r="O14" s="2">
        <v>34</v>
      </c>
      <c r="P14" s="2">
        <v>0</v>
      </c>
      <c r="Q14" s="2">
        <v>1</v>
      </c>
      <c r="R14" s="2">
        <v>0</v>
      </c>
      <c r="S14" s="2">
        <v>4</v>
      </c>
      <c r="T14" s="2">
        <v>5</v>
      </c>
      <c r="U14" s="2">
        <v>13</v>
      </c>
      <c r="V14" s="2">
        <v>18</v>
      </c>
      <c r="W14" s="2">
        <v>0</v>
      </c>
      <c r="X14" s="2">
        <v>11</v>
      </c>
      <c r="Y14" s="2">
        <v>9</v>
      </c>
      <c r="Z14" s="29">
        <f t="shared" si="0"/>
        <v>-0.51173708920187788</v>
      </c>
      <c r="AA14" s="2">
        <v>5</v>
      </c>
      <c r="AB14" s="29">
        <f t="shared" si="1"/>
        <v>-0.76966292134831471</v>
      </c>
      <c r="AC14" s="2">
        <v>7</v>
      </c>
      <c r="AD14" s="29">
        <f t="shared" si="2"/>
        <v>-2.0967993754878997</v>
      </c>
      <c r="AE14" s="2">
        <v>0</v>
      </c>
      <c r="AF14" s="29">
        <f t="shared" si="3"/>
        <v>-2.1671140156377637</v>
      </c>
      <c r="AG14" s="2">
        <v>46.77</v>
      </c>
      <c r="AH14" s="29">
        <v>5.8069199128961982E-2</v>
      </c>
      <c r="AI14" s="2">
        <v>155.22</v>
      </c>
      <c r="AJ14" s="29">
        <v>-0.38858636462644297</v>
      </c>
    </row>
    <row r="15" spans="1:36" x14ac:dyDescent="0.2">
      <c r="A15" s="2" t="s">
        <v>62</v>
      </c>
      <c r="B15" s="2" t="s">
        <v>42</v>
      </c>
      <c r="C15" s="2" t="s">
        <v>46</v>
      </c>
      <c r="D15" s="12">
        <v>77.916666666666671</v>
      </c>
      <c r="E15" s="2">
        <v>0</v>
      </c>
      <c r="F15" s="2">
        <v>21</v>
      </c>
      <c r="G15" s="2">
        <v>16</v>
      </c>
      <c r="H15" s="2">
        <v>11</v>
      </c>
      <c r="I15" s="27">
        <v>0.317</v>
      </c>
      <c r="J15" s="11">
        <v>0.5444444444444444</v>
      </c>
      <c r="K15" s="2">
        <v>0</v>
      </c>
      <c r="L15" s="2">
        <v>1</v>
      </c>
      <c r="M15" s="2">
        <v>28</v>
      </c>
      <c r="N15" s="2">
        <v>25</v>
      </c>
      <c r="O15" s="2">
        <v>47</v>
      </c>
      <c r="P15" s="2">
        <v>0</v>
      </c>
      <c r="Q15" s="2">
        <v>2</v>
      </c>
      <c r="R15" s="2">
        <v>2</v>
      </c>
      <c r="S15" s="2">
        <v>9</v>
      </c>
      <c r="T15" s="2">
        <v>9</v>
      </c>
      <c r="U15" s="2">
        <v>17</v>
      </c>
      <c r="V15" s="2">
        <v>26</v>
      </c>
      <c r="W15" s="2">
        <v>6</v>
      </c>
      <c r="X15" s="2">
        <v>9</v>
      </c>
      <c r="Y15" s="2">
        <v>7</v>
      </c>
      <c r="Z15" s="29">
        <f t="shared" si="0"/>
        <v>-1.4507042253521127</v>
      </c>
      <c r="AA15" s="2">
        <v>7</v>
      </c>
      <c r="AB15" s="29">
        <f t="shared" si="1"/>
        <v>0.35393258426966284</v>
      </c>
      <c r="AC15" s="2">
        <v>25</v>
      </c>
      <c r="AD15" s="29">
        <f t="shared" si="2"/>
        <v>-0.69164715066354399</v>
      </c>
      <c r="AE15" s="2">
        <v>7</v>
      </c>
      <c r="AF15" s="29">
        <f t="shared" si="3"/>
        <v>-1.3502158945034426</v>
      </c>
      <c r="AG15" s="2">
        <v>206</v>
      </c>
      <c r="AH15" s="29">
        <v>-3.7945802080812965</v>
      </c>
      <c r="AI15" s="2">
        <v>300</v>
      </c>
      <c r="AJ15" s="29">
        <v>-1.9653670224351991</v>
      </c>
    </row>
    <row r="16" spans="1:36" x14ac:dyDescent="0.2">
      <c r="A16" s="2" t="s">
        <v>63</v>
      </c>
      <c r="B16" s="2" t="s">
        <v>42</v>
      </c>
      <c r="C16" s="2" t="s">
        <v>46</v>
      </c>
      <c r="D16" s="12">
        <v>67.813888888888883</v>
      </c>
      <c r="E16" s="2">
        <v>0</v>
      </c>
      <c r="F16" s="2">
        <v>27</v>
      </c>
      <c r="G16" s="2">
        <v>24</v>
      </c>
      <c r="H16" s="2">
        <v>13</v>
      </c>
      <c r="I16" s="27">
        <v>0.11</v>
      </c>
      <c r="J16" s="11">
        <v>3.888888888888889E-2</v>
      </c>
      <c r="K16" s="2">
        <v>0</v>
      </c>
      <c r="L16" s="2">
        <v>0</v>
      </c>
      <c r="M16" s="2">
        <v>4</v>
      </c>
      <c r="N16" s="2">
        <v>13</v>
      </c>
      <c r="O16" s="2">
        <v>25</v>
      </c>
      <c r="P16" s="2">
        <v>0</v>
      </c>
      <c r="Q16" s="2">
        <v>2</v>
      </c>
      <c r="R16" s="2">
        <v>0</v>
      </c>
      <c r="S16" s="2">
        <v>0</v>
      </c>
      <c r="T16" s="2">
        <v>8</v>
      </c>
      <c r="U16" s="2">
        <v>13</v>
      </c>
      <c r="V16" s="2">
        <v>21</v>
      </c>
      <c r="W16" s="2">
        <v>0</v>
      </c>
      <c r="X16" s="2">
        <v>2</v>
      </c>
      <c r="Y16" s="2" t="s">
        <v>44</v>
      </c>
      <c r="Z16" s="29" t="s">
        <v>44</v>
      </c>
      <c r="AA16" s="2" t="s">
        <v>44</v>
      </c>
      <c r="AB16" s="29" t="s">
        <v>44</v>
      </c>
      <c r="AC16" s="2" t="s">
        <v>44</v>
      </c>
      <c r="AD16" s="29" t="s">
        <v>44</v>
      </c>
      <c r="AE16" s="2" t="s">
        <v>44</v>
      </c>
      <c r="AF16" s="29" t="s">
        <v>44</v>
      </c>
      <c r="AG16" s="2" t="s">
        <v>44</v>
      </c>
      <c r="AH16" s="29" t="s">
        <v>44</v>
      </c>
      <c r="AI16" s="2" t="s">
        <v>44</v>
      </c>
      <c r="AJ16" s="29" t="s">
        <v>44</v>
      </c>
    </row>
    <row r="17" spans="1:36" x14ac:dyDescent="0.2">
      <c r="A17" s="2" t="s">
        <v>64</v>
      </c>
      <c r="B17" s="2" t="s">
        <v>42</v>
      </c>
      <c r="C17" s="2" t="s">
        <v>46</v>
      </c>
      <c r="D17" s="12">
        <v>62.594444444444441</v>
      </c>
      <c r="E17" s="2">
        <v>1</v>
      </c>
      <c r="F17" s="2">
        <v>14</v>
      </c>
      <c r="G17" s="2">
        <v>10</v>
      </c>
      <c r="H17" s="2">
        <v>6</v>
      </c>
      <c r="I17" s="27">
        <v>0.19600000000000001</v>
      </c>
      <c r="J17" s="11">
        <v>0</v>
      </c>
      <c r="K17" s="2">
        <v>0</v>
      </c>
      <c r="L17" s="2">
        <v>1</v>
      </c>
      <c r="M17" s="2">
        <v>25</v>
      </c>
      <c r="N17" s="2">
        <v>15</v>
      </c>
      <c r="O17" s="2">
        <v>36</v>
      </c>
      <c r="P17" s="2">
        <v>0</v>
      </c>
      <c r="Q17" s="2">
        <v>2</v>
      </c>
      <c r="R17" s="2">
        <v>4</v>
      </c>
      <c r="S17" s="2">
        <v>4</v>
      </c>
      <c r="T17" s="2">
        <v>18</v>
      </c>
      <c r="U17" s="2">
        <v>24</v>
      </c>
      <c r="V17" s="2">
        <v>42</v>
      </c>
      <c r="W17" s="2">
        <v>11</v>
      </c>
      <c r="X17" s="2">
        <v>6</v>
      </c>
      <c r="Y17" s="2">
        <v>8</v>
      </c>
      <c r="Z17" s="29">
        <f t="shared" ref="Z17:Z40" si="4">STANDARDIZE(Y17,10.09,2.13)</f>
        <v>-0.98122065727699526</v>
      </c>
      <c r="AA17" s="2">
        <v>2</v>
      </c>
      <c r="AB17" s="29">
        <f t="shared" ref="AB17:AB40" si="5">STANDARDIZE(AA17,6.37,1.78)</f>
        <v>-2.4550561797752808</v>
      </c>
      <c r="AC17" s="2">
        <v>11</v>
      </c>
      <c r="AD17" s="29">
        <f t="shared" ref="AD17:AD40" si="6">STANDARDIZE(AC17,33.86,12.81)</f>
        <v>-1.7845433255269321</v>
      </c>
      <c r="AE17" s="2">
        <v>3</v>
      </c>
      <c r="AF17" s="29">
        <f t="shared" ref="AF17:AF40" si="7">STANDARDIZE(AE17,18.57,8.569)</f>
        <v>-1.8170148208659118</v>
      </c>
      <c r="AG17" s="2" t="s">
        <v>44</v>
      </c>
      <c r="AH17" s="29" t="s">
        <v>44</v>
      </c>
      <c r="AI17" s="2" t="s">
        <v>44</v>
      </c>
      <c r="AJ17" s="29" t="s">
        <v>44</v>
      </c>
    </row>
    <row r="18" spans="1:36" x14ac:dyDescent="0.2">
      <c r="A18" s="2" t="s">
        <v>65</v>
      </c>
      <c r="B18" s="2" t="s">
        <v>42</v>
      </c>
      <c r="C18" s="2" t="s">
        <v>46</v>
      </c>
      <c r="D18" s="12">
        <v>79.361111111111114</v>
      </c>
      <c r="E18" s="2">
        <v>0</v>
      </c>
      <c r="F18" s="2">
        <v>27</v>
      </c>
      <c r="G18" s="2">
        <v>22</v>
      </c>
      <c r="H18" s="2">
        <v>10</v>
      </c>
      <c r="I18" s="27">
        <v>0.375</v>
      </c>
      <c r="J18" s="11">
        <v>0.93611111111111112</v>
      </c>
      <c r="K18" s="2">
        <v>0</v>
      </c>
      <c r="L18" s="2">
        <v>1</v>
      </c>
      <c r="M18" s="2">
        <v>24</v>
      </c>
      <c r="N18" s="2">
        <v>14</v>
      </c>
      <c r="O18" s="2">
        <v>9</v>
      </c>
      <c r="P18" s="2">
        <v>0</v>
      </c>
      <c r="Q18" s="2" t="s">
        <v>44</v>
      </c>
      <c r="R18" s="2">
        <v>2</v>
      </c>
      <c r="S18" s="2">
        <v>12</v>
      </c>
      <c r="T18" s="2">
        <v>0</v>
      </c>
      <c r="U18" s="2">
        <v>15</v>
      </c>
      <c r="V18" s="2">
        <v>15</v>
      </c>
      <c r="W18" s="2">
        <v>0</v>
      </c>
      <c r="X18" s="2">
        <v>12</v>
      </c>
      <c r="Y18" s="2">
        <v>8</v>
      </c>
      <c r="Z18" s="29">
        <f t="shared" si="4"/>
        <v>-0.98122065727699526</v>
      </c>
      <c r="AA18" s="2">
        <v>5</v>
      </c>
      <c r="AB18" s="29">
        <f t="shared" si="5"/>
        <v>-0.76966292134831471</v>
      </c>
      <c r="AC18" s="2">
        <v>25</v>
      </c>
      <c r="AD18" s="29">
        <f t="shared" si="6"/>
        <v>-0.69164715066354399</v>
      </c>
      <c r="AE18" s="2">
        <v>14</v>
      </c>
      <c r="AF18" s="29">
        <f t="shared" si="7"/>
        <v>-0.53331777336912123</v>
      </c>
      <c r="AG18" s="2">
        <v>40</v>
      </c>
      <c r="AH18" s="29">
        <v>0.22187273167190907</v>
      </c>
      <c r="AI18" s="2">
        <v>130</v>
      </c>
      <c r="AJ18" s="29">
        <v>-0.11391853626660853</v>
      </c>
    </row>
    <row r="19" spans="1:36" x14ac:dyDescent="0.2">
      <c r="A19" s="2" t="s">
        <v>66</v>
      </c>
      <c r="B19" s="2" t="s">
        <v>42</v>
      </c>
      <c r="C19" s="2" t="s">
        <v>46</v>
      </c>
      <c r="D19" s="12">
        <v>74.013888888888886</v>
      </c>
      <c r="E19" s="2">
        <v>0</v>
      </c>
      <c r="F19" s="2" t="s">
        <v>44</v>
      </c>
      <c r="G19" s="2" t="s">
        <v>44</v>
      </c>
      <c r="H19" s="2">
        <v>12</v>
      </c>
      <c r="I19" s="27">
        <v>0.36599999999999999</v>
      </c>
      <c r="J19" s="11">
        <v>2.0750000000000002</v>
      </c>
      <c r="K19" s="2">
        <v>0</v>
      </c>
      <c r="L19" s="2">
        <v>1</v>
      </c>
      <c r="M19" s="2">
        <v>15</v>
      </c>
      <c r="N19" s="2">
        <v>25</v>
      </c>
      <c r="O19" s="2">
        <v>37</v>
      </c>
      <c r="P19" s="2">
        <v>0</v>
      </c>
      <c r="Q19" s="2">
        <v>2</v>
      </c>
      <c r="R19" s="2">
        <v>4</v>
      </c>
      <c r="S19" s="2">
        <v>9</v>
      </c>
      <c r="T19" s="2">
        <v>19</v>
      </c>
      <c r="U19" s="2">
        <v>20</v>
      </c>
      <c r="V19" s="2">
        <v>39</v>
      </c>
      <c r="W19" s="2">
        <v>8</v>
      </c>
      <c r="X19" s="2">
        <v>12</v>
      </c>
      <c r="Y19" s="2">
        <v>8</v>
      </c>
      <c r="Z19" s="29">
        <f t="shared" si="4"/>
        <v>-0.98122065727699526</v>
      </c>
      <c r="AA19" s="2">
        <v>4</v>
      </c>
      <c r="AB19" s="29">
        <f t="shared" si="5"/>
        <v>-1.3314606741573034</v>
      </c>
      <c r="AC19" s="2">
        <v>4</v>
      </c>
      <c r="AD19" s="29">
        <f t="shared" si="6"/>
        <v>-2.330991412958626</v>
      </c>
      <c r="AE19" s="2">
        <v>4</v>
      </c>
      <c r="AF19" s="29">
        <f t="shared" si="7"/>
        <v>-1.7003150892752945</v>
      </c>
      <c r="AG19" s="2">
        <v>150</v>
      </c>
      <c r="AH19" s="29">
        <v>-2.4396322284055167</v>
      </c>
      <c r="AI19" s="2">
        <v>300</v>
      </c>
      <c r="AJ19" s="29">
        <v>-1.9653670224351991</v>
      </c>
    </row>
    <row r="20" spans="1:36" x14ac:dyDescent="0.2">
      <c r="A20" s="2" t="s">
        <v>67</v>
      </c>
      <c r="B20" s="2" t="s">
        <v>42</v>
      </c>
      <c r="C20" s="2" t="s">
        <v>46</v>
      </c>
      <c r="D20" s="12">
        <v>72.394444444444446</v>
      </c>
      <c r="E20" s="2">
        <v>0</v>
      </c>
      <c r="F20" s="2">
        <v>29</v>
      </c>
      <c r="G20" s="2">
        <v>22</v>
      </c>
      <c r="H20" s="2">
        <v>15</v>
      </c>
      <c r="I20" s="27">
        <v>8.3000000000000004E-2</v>
      </c>
      <c r="J20" s="11">
        <v>0.17222222222222222</v>
      </c>
      <c r="K20" s="2">
        <v>200</v>
      </c>
      <c r="L20" s="2">
        <v>0</v>
      </c>
      <c r="M20" s="2">
        <v>14</v>
      </c>
      <c r="N20" s="2">
        <v>15</v>
      </c>
      <c r="O20" s="2">
        <v>27</v>
      </c>
      <c r="P20" s="2">
        <v>0</v>
      </c>
      <c r="Q20" s="2" t="s">
        <v>44</v>
      </c>
      <c r="R20" s="2">
        <v>1</v>
      </c>
      <c r="S20" s="2">
        <v>3</v>
      </c>
      <c r="T20" s="2">
        <v>1</v>
      </c>
      <c r="U20" s="2">
        <v>14</v>
      </c>
      <c r="V20" s="2">
        <v>15</v>
      </c>
      <c r="W20" s="2">
        <v>0</v>
      </c>
      <c r="X20" s="2">
        <v>5</v>
      </c>
      <c r="Y20" s="2">
        <v>14</v>
      </c>
      <c r="Z20" s="29">
        <f t="shared" si="4"/>
        <v>1.835680751173709</v>
      </c>
      <c r="AA20" s="2">
        <v>8</v>
      </c>
      <c r="AB20" s="29">
        <f t="shared" si="5"/>
        <v>0.91573033707865159</v>
      </c>
      <c r="AC20" s="2">
        <v>24</v>
      </c>
      <c r="AD20" s="29">
        <f t="shared" si="6"/>
        <v>-0.76971116315378607</v>
      </c>
      <c r="AE20" s="2">
        <v>13</v>
      </c>
      <c r="AF20" s="29">
        <f t="shared" si="7"/>
        <v>-0.65001750495973853</v>
      </c>
      <c r="AG20" s="2">
        <v>131.99</v>
      </c>
      <c r="AH20" s="29">
        <v>-2.0038712799419311</v>
      </c>
      <c r="AI20" s="2">
        <v>300</v>
      </c>
      <c r="AJ20" s="29">
        <v>-1.9653670224351991</v>
      </c>
    </row>
    <row r="21" spans="1:36" x14ac:dyDescent="0.2">
      <c r="A21" s="2" t="s">
        <v>68</v>
      </c>
      <c r="B21" s="2" t="s">
        <v>42</v>
      </c>
      <c r="C21" s="2" t="s">
        <v>46</v>
      </c>
      <c r="D21" s="12">
        <v>70.825000000000003</v>
      </c>
      <c r="E21" s="2">
        <v>0</v>
      </c>
      <c r="F21" s="2">
        <v>28</v>
      </c>
      <c r="G21" s="2">
        <v>27</v>
      </c>
      <c r="H21" s="2">
        <v>15</v>
      </c>
      <c r="I21" s="27">
        <v>0.152</v>
      </c>
      <c r="J21" s="11">
        <v>0.1388888888888889</v>
      </c>
      <c r="K21" s="2">
        <v>400</v>
      </c>
      <c r="L21" s="2">
        <v>1</v>
      </c>
      <c r="M21" s="2">
        <v>17</v>
      </c>
      <c r="N21" s="2">
        <v>13</v>
      </c>
      <c r="O21" s="2">
        <v>27</v>
      </c>
      <c r="P21" s="2">
        <v>0</v>
      </c>
      <c r="Q21" s="2">
        <v>2</v>
      </c>
      <c r="R21" s="2">
        <v>2</v>
      </c>
      <c r="S21" s="2">
        <v>12</v>
      </c>
      <c r="T21" s="2">
        <v>7</v>
      </c>
      <c r="U21" s="2">
        <v>18</v>
      </c>
      <c r="V21" s="2">
        <v>25</v>
      </c>
      <c r="W21" s="2">
        <v>2</v>
      </c>
      <c r="X21" s="2">
        <v>5</v>
      </c>
      <c r="Y21" s="2">
        <v>10</v>
      </c>
      <c r="Z21" s="29">
        <f t="shared" si="4"/>
        <v>-4.22535211267605E-2</v>
      </c>
      <c r="AA21" s="2">
        <v>7</v>
      </c>
      <c r="AB21" s="29">
        <f t="shared" si="5"/>
        <v>0.35393258426966284</v>
      </c>
      <c r="AC21" s="2">
        <v>30</v>
      </c>
      <c r="AD21" s="29">
        <f t="shared" si="6"/>
        <v>-0.30132708821233406</v>
      </c>
      <c r="AE21" s="2">
        <v>19</v>
      </c>
      <c r="AF21" s="29">
        <f t="shared" si="7"/>
        <v>5.018088458396542E-2</v>
      </c>
      <c r="AG21" s="2">
        <v>58</v>
      </c>
      <c r="AH21" s="29">
        <v>-0.21364626179530605</v>
      </c>
      <c r="AI21" s="2">
        <v>123</v>
      </c>
      <c r="AJ21" s="29">
        <v>-3.7682422130254779E-2</v>
      </c>
    </row>
    <row r="22" spans="1:36" x14ac:dyDescent="0.2">
      <c r="A22" s="2" t="s">
        <v>69</v>
      </c>
      <c r="B22" s="2" t="s">
        <v>42</v>
      </c>
      <c r="C22" s="2" t="s">
        <v>46</v>
      </c>
      <c r="D22" s="12">
        <v>69.12777777777778</v>
      </c>
      <c r="E22" s="2">
        <v>0</v>
      </c>
      <c r="F22" s="2">
        <v>29</v>
      </c>
      <c r="G22" s="2">
        <v>22</v>
      </c>
      <c r="H22" s="2">
        <v>15</v>
      </c>
      <c r="I22" s="27">
        <v>0.253</v>
      </c>
      <c r="J22" s="11">
        <v>0.64722222222222225</v>
      </c>
      <c r="K22" s="2">
        <v>200</v>
      </c>
      <c r="L22" s="2">
        <v>1</v>
      </c>
      <c r="M22" s="2">
        <v>19</v>
      </c>
      <c r="N22" s="2">
        <v>15</v>
      </c>
      <c r="O22" s="2">
        <v>41</v>
      </c>
      <c r="P22" s="2">
        <v>0</v>
      </c>
      <c r="Q22" s="2">
        <v>2</v>
      </c>
      <c r="R22" s="2">
        <v>1</v>
      </c>
      <c r="S22" s="2">
        <v>8</v>
      </c>
      <c r="T22" s="2">
        <v>2</v>
      </c>
      <c r="U22" s="2">
        <v>7</v>
      </c>
      <c r="V22" s="2">
        <v>9</v>
      </c>
      <c r="W22" s="2">
        <v>1</v>
      </c>
      <c r="X22" s="2">
        <v>6</v>
      </c>
      <c r="Y22" s="2">
        <v>10</v>
      </c>
      <c r="Z22" s="29">
        <f t="shared" si="4"/>
        <v>-4.22535211267605E-2</v>
      </c>
      <c r="AA22" s="2">
        <v>7</v>
      </c>
      <c r="AB22" s="29">
        <f t="shared" si="5"/>
        <v>0.35393258426966284</v>
      </c>
      <c r="AC22" s="2">
        <v>40</v>
      </c>
      <c r="AD22" s="29">
        <f t="shared" si="6"/>
        <v>0.4793130366900859</v>
      </c>
      <c r="AE22" s="2">
        <v>14</v>
      </c>
      <c r="AF22" s="29">
        <f t="shared" si="7"/>
        <v>-0.53331777336912123</v>
      </c>
      <c r="AG22" s="2">
        <v>68.22</v>
      </c>
      <c r="AH22" s="29">
        <v>-0.4609242680861359</v>
      </c>
      <c r="AI22" s="2">
        <v>300</v>
      </c>
      <c r="AJ22" s="29">
        <v>-1.9653670224351991</v>
      </c>
    </row>
    <row r="23" spans="1:36" x14ac:dyDescent="0.2">
      <c r="A23" s="2" t="s">
        <v>70</v>
      </c>
      <c r="B23" s="2" t="s">
        <v>42</v>
      </c>
      <c r="C23" s="2" t="s">
        <v>46</v>
      </c>
      <c r="D23" s="12">
        <v>77.674999999999997</v>
      </c>
      <c r="E23" s="2">
        <v>0</v>
      </c>
      <c r="F23" s="2">
        <v>24</v>
      </c>
      <c r="G23" s="2">
        <v>17</v>
      </c>
      <c r="H23" s="2">
        <v>18</v>
      </c>
      <c r="I23" s="27">
        <v>0.129</v>
      </c>
      <c r="J23" s="11">
        <v>7.4749999999999996</v>
      </c>
      <c r="K23" s="2">
        <v>600</v>
      </c>
      <c r="L23" s="2">
        <v>0</v>
      </c>
      <c r="M23" s="2">
        <v>22</v>
      </c>
      <c r="N23" s="2">
        <v>23</v>
      </c>
      <c r="O23" s="2">
        <v>41</v>
      </c>
      <c r="P23" s="2">
        <v>0</v>
      </c>
      <c r="Q23" s="2">
        <v>2</v>
      </c>
      <c r="R23" s="2">
        <v>1</v>
      </c>
      <c r="S23" s="2">
        <v>12</v>
      </c>
      <c r="T23" s="2">
        <v>2</v>
      </c>
      <c r="U23" s="2">
        <v>19</v>
      </c>
      <c r="V23" s="2">
        <v>21</v>
      </c>
      <c r="W23" s="2">
        <v>2</v>
      </c>
      <c r="X23" s="2">
        <v>6</v>
      </c>
      <c r="Y23" s="2">
        <v>7</v>
      </c>
      <c r="Z23" s="29">
        <f t="shared" si="4"/>
        <v>-1.4507042253521127</v>
      </c>
      <c r="AA23" s="2">
        <v>6</v>
      </c>
      <c r="AB23" s="29">
        <f t="shared" si="5"/>
        <v>-0.20786516853932591</v>
      </c>
      <c r="AC23" s="2">
        <v>23</v>
      </c>
      <c r="AD23" s="29">
        <f t="shared" si="6"/>
        <v>-0.84777517564402805</v>
      </c>
      <c r="AE23" s="2">
        <v>3</v>
      </c>
      <c r="AF23" s="29">
        <f t="shared" si="7"/>
        <v>-1.8170148208659118</v>
      </c>
      <c r="AG23" s="2">
        <v>103.92</v>
      </c>
      <c r="AH23" s="29">
        <v>-1.3247036051294461</v>
      </c>
      <c r="AI23" s="2">
        <v>300</v>
      </c>
      <c r="AJ23" s="29">
        <v>-1.9653670224351991</v>
      </c>
    </row>
    <row r="24" spans="1:36" x14ac:dyDescent="0.2">
      <c r="A24" s="2" t="s">
        <v>71</v>
      </c>
      <c r="B24" s="2" t="s">
        <v>42</v>
      </c>
      <c r="C24" s="2" t="s">
        <v>43</v>
      </c>
      <c r="D24" s="3">
        <v>45</v>
      </c>
      <c r="E24" s="2">
        <v>1</v>
      </c>
      <c r="F24" s="2">
        <v>29</v>
      </c>
      <c r="G24" s="4">
        <v>30</v>
      </c>
      <c r="H24" s="3">
        <v>12</v>
      </c>
      <c r="I24" s="26">
        <v>0.14551646681294961</v>
      </c>
      <c r="J24" s="5">
        <v>5.4388888888888891</v>
      </c>
      <c r="K24" s="6">
        <v>350</v>
      </c>
      <c r="L24" s="2">
        <v>0</v>
      </c>
      <c r="M24" s="2">
        <v>3</v>
      </c>
      <c r="N24" s="2">
        <v>1</v>
      </c>
      <c r="O24" s="2">
        <v>26</v>
      </c>
      <c r="P24" s="2">
        <v>0</v>
      </c>
      <c r="Q24" s="6">
        <v>2</v>
      </c>
      <c r="R24" s="2">
        <v>0</v>
      </c>
      <c r="S24" s="2" t="s">
        <v>44</v>
      </c>
      <c r="T24" s="2" t="s">
        <v>44</v>
      </c>
      <c r="U24" s="2" t="s">
        <v>44</v>
      </c>
      <c r="V24" s="2" t="s">
        <v>44</v>
      </c>
      <c r="W24" s="2">
        <v>9</v>
      </c>
      <c r="X24" s="2">
        <v>7</v>
      </c>
      <c r="Y24" s="2">
        <v>8</v>
      </c>
      <c r="Z24" s="29">
        <f t="shared" si="4"/>
        <v>-0.98122065727699526</v>
      </c>
      <c r="AA24" s="2">
        <v>5</v>
      </c>
      <c r="AB24" s="29">
        <f t="shared" si="5"/>
        <v>-0.76966292134831471</v>
      </c>
      <c r="AC24" s="2">
        <v>50</v>
      </c>
      <c r="AD24" s="29">
        <f t="shared" si="6"/>
        <v>1.2599531615925059</v>
      </c>
      <c r="AE24" s="2">
        <v>29</v>
      </c>
      <c r="AF24" s="29">
        <f t="shared" si="7"/>
        <v>1.2171782004901388</v>
      </c>
      <c r="AG24" s="2">
        <v>18</v>
      </c>
      <c r="AH24" s="29">
        <v>0.75417372368739422</v>
      </c>
      <c r="AI24" s="2">
        <v>40</v>
      </c>
      <c r="AJ24" s="29">
        <v>0.86626007405793959</v>
      </c>
    </row>
    <row r="25" spans="1:36" x14ac:dyDescent="0.2">
      <c r="A25" s="2" t="s">
        <v>72</v>
      </c>
      <c r="B25" s="2" t="s">
        <v>42</v>
      </c>
      <c r="C25" s="2" t="s">
        <v>43</v>
      </c>
      <c r="D25" s="3">
        <v>65</v>
      </c>
      <c r="E25" s="2">
        <v>0</v>
      </c>
      <c r="F25" s="2">
        <v>25</v>
      </c>
      <c r="G25" s="4">
        <v>26</v>
      </c>
      <c r="H25" s="3">
        <v>15</v>
      </c>
      <c r="I25" s="26">
        <v>0.39065060653237421</v>
      </c>
      <c r="J25" s="5">
        <v>12.641666666666667</v>
      </c>
      <c r="K25" s="6">
        <v>590</v>
      </c>
      <c r="L25" s="2">
        <v>0</v>
      </c>
      <c r="M25" s="2">
        <v>15</v>
      </c>
      <c r="N25" s="2">
        <v>16</v>
      </c>
      <c r="O25" s="2">
        <v>33</v>
      </c>
      <c r="P25" s="2">
        <v>0</v>
      </c>
      <c r="Q25" s="6">
        <v>2.5</v>
      </c>
      <c r="R25" s="2">
        <v>3</v>
      </c>
      <c r="S25" s="2" t="s">
        <v>44</v>
      </c>
      <c r="T25" s="2" t="s">
        <v>44</v>
      </c>
      <c r="U25" s="2" t="s">
        <v>44</v>
      </c>
      <c r="V25" s="2" t="s">
        <v>44</v>
      </c>
      <c r="W25" s="2">
        <v>5</v>
      </c>
      <c r="X25" s="2">
        <v>6</v>
      </c>
      <c r="Y25" s="2">
        <v>8</v>
      </c>
      <c r="Z25" s="29">
        <f t="shared" si="4"/>
        <v>-0.98122065727699526</v>
      </c>
      <c r="AA25" s="2">
        <v>5</v>
      </c>
      <c r="AB25" s="29">
        <f t="shared" si="5"/>
        <v>-0.76966292134831471</v>
      </c>
      <c r="AC25" s="2">
        <v>28</v>
      </c>
      <c r="AD25" s="29">
        <f t="shared" si="6"/>
        <v>-0.45745511319281806</v>
      </c>
      <c r="AE25" s="2">
        <v>18</v>
      </c>
      <c r="AF25" s="29">
        <f t="shared" si="7"/>
        <v>-6.6518847006651907E-2</v>
      </c>
      <c r="AG25" s="2">
        <v>29</v>
      </c>
      <c r="AH25" s="29">
        <v>0.48802322767965167</v>
      </c>
      <c r="AI25" s="2">
        <v>120</v>
      </c>
      <c r="AJ25" s="29">
        <v>-5.0098017861031777E-3</v>
      </c>
    </row>
    <row r="26" spans="1:36" x14ac:dyDescent="0.2">
      <c r="A26" s="2" t="s">
        <v>73</v>
      </c>
      <c r="B26" s="2" t="s">
        <v>42</v>
      </c>
      <c r="C26" s="2" t="s">
        <v>43</v>
      </c>
      <c r="D26" s="3">
        <v>59</v>
      </c>
      <c r="E26" s="2">
        <v>0</v>
      </c>
      <c r="F26" s="2">
        <v>30</v>
      </c>
      <c r="G26" s="4" t="s">
        <v>44</v>
      </c>
      <c r="H26" s="3">
        <v>16</v>
      </c>
      <c r="I26" s="26">
        <v>0.35069169381294962</v>
      </c>
      <c r="J26" s="5">
        <v>3.0722222222222224</v>
      </c>
      <c r="K26" s="6">
        <v>120</v>
      </c>
      <c r="L26" s="2">
        <v>0</v>
      </c>
      <c r="M26" s="2">
        <v>5</v>
      </c>
      <c r="N26" s="2">
        <v>8</v>
      </c>
      <c r="O26" s="2">
        <v>11</v>
      </c>
      <c r="P26" s="2">
        <v>0</v>
      </c>
      <c r="Q26" s="6">
        <v>2</v>
      </c>
      <c r="R26" s="2">
        <v>0</v>
      </c>
      <c r="S26" s="2" t="s">
        <v>44</v>
      </c>
      <c r="T26" s="2" t="s">
        <v>44</v>
      </c>
      <c r="U26" s="2" t="s">
        <v>44</v>
      </c>
      <c r="V26" s="2" t="s">
        <v>44</v>
      </c>
      <c r="W26" s="2">
        <v>3</v>
      </c>
      <c r="X26" s="2">
        <v>3</v>
      </c>
      <c r="Y26" s="2">
        <v>12</v>
      </c>
      <c r="Z26" s="29">
        <f t="shared" si="4"/>
        <v>0.89671361502347424</v>
      </c>
      <c r="AA26" s="2">
        <v>7</v>
      </c>
      <c r="AB26" s="29">
        <f t="shared" si="5"/>
        <v>0.35393258426966284</v>
      </c>
      <c r="AC26" s="2">
        <v>41</v>
      </c>
      <c r="AD26" s="29">
        <f t="shared" si="6"/>
        <v>0.55737704918032793</v>
      </c>
      <c r="AE26" s="2">
        <v>24</v>
      </c>
      <c r="AF26" s="29">
        <f t="shared" si="7"/>
        <v>0.63367954253705205</v>
      </c>
      <c r="AG26" s="2">
        <v>46</v>
      </c>
      <c r="AH26" s="29">
        <v>7.6699733849504043E-2</v>
      </c>
      <c r="AI26" s="2">
        <v>76</v>
      </c>
      <c r="AJ26" s="29">
        <v>0.47418862992812033</v>
      </c>
    </row>
    <row r="27" spans="1:36" x14ac:dyDescent="0.2">
      <c r="A27" s="2" t="s">
        <v>74</v>
      </c>
      <c r="B27" s="2" t="s">
        <v>42</v>
      </c>
      <c r="C27" s="2" t="s">
        <v>43</v>
      </c>
      <c r="D27" s="3">
        <v>59</v>
      </c>
      <c r="E27" s="3">
        <v>1</v>
      </c>
      <c r="F27" s="2">
        <v>25</v>
      </c>
      <c r="G27" s="3">
        <v>26</v>
      </c>
      <c r="H27" s="4">
        <v>12</v>
      </c>
      <c r="I27" s="26">
        <v>0.26398691884126979</v>
      </c>
      <c r="J27" s="5">
        <v>3.2555555555555555</v>
      </c>
      <c r="K27" s="2">
        <v>450</v>
      </c>
      <c r="L27" s="2">
        <v>0</v>
      </c>
      <c r="M27" s="2">
        <v>8</v>
      </c>
      <c r="N27" s="2">
        <v>9</v>
      </c>
      <c r="O27" s="2">
        <v>31</v>
      </c>
      <c r="P27" s="2">
        <v>0</v>
      </c>
      <c r="Q27" s="6">
        <v>2</v>
      </c>
      <c r="R27" s="2">
        <v>0</v>
      </c>
      <c r="S27" s="2" t="s">
        <v>44</v>
      </c>
      <c r="T27" s="2" t="s">
        <v>44</v>
      </c>
      <c r="U27" s="2" t="s">
        <v>44</v>
      </c>
      <c r="V27" s="2" t="s">
        <v>44</v>
      </c>
      <c r="W27" s="2">
        <v>10</v>
      </c>
      <c r="X27" s="2">
        <v>0</v>
      </c>
      <c r="Y27" s="2">
        <v>10</v>
      </c>
      <c r="Z27" s="29">
        <f t="shared" si="4"/>
        <v>-4.22535211267605E-2</v>
      </c>
      <c r="AA27" s="2">
        <v>6</v>
      </c>
      <c r="AB27" s="29">
        <f t="shared" si="5"/>
        <v>-0.20786516853932591</v>
      </c>
      <c r="AC27" s="2">
        <v>37</v>
      </c>
      <c r="AD27" s="29">
        <f t="shared" si="6"/>
        <v>0.2451209992193599</v>
      </c>
      <c r="AE27" s="2">
        <v>25</v>
      </c>
      <c r="AF27" s="29">
        <f t="shared" si="7"/>
        <v>0.75037927412766936</v>
      </c>
      <c r="AG27" s="2">
        <v>39</v>
      </c>
      <c r="AH27" s="29">
        <v>0.24606823130897659</v>
      </c>
      <c r="AI27" s="2">
        <v>55</v>
      </c>
      <c r="AJ27" s="29">
        <v>0.70289697233718151</v>
      </c>
    </row>
    <row r="28" spans="1:36" x14ac:dyDescent="0.2">
      <c r="A28" s="2" t="s">
        <v>75</v>
      </c>
      <c r="B28" s="2" t="s">
        <v>42</v>
      </c>
      <c r="C28" s="2" t="s">
        <v>43</v>
      </c>
      <c r="D28" s="3">
        <v>70</v>
      </c>
      <c r="E28" s="3">
        <v>0</v>
      </c>
      <c r="F28" s="2">
        <v>30</v>
      </c>
      <c r="G28" s="3">
        <v>30</v>
      </c>
      <c r="H28" s="4">
        <v>12</v>
      </c>
      <c r="I28" s="26">
        <v>9.6745980152380937E-2</v>
      </c>
      <c r="J28" s="5">
        <v>2.4</v>
      </c>
      <c r="K28" s="2">
        <v>900</v>
      </c>
      <c r="L28" s="2">
        <v>0</v>
      </c>
      <c r="M28" s="2">
        <v>8</v>
      </c>
      <c r="N28" s="2">
        <v>3</v>
      </c>
      <c r="O28" s="2">
        <v>10</v>
      </c>
      <c r="P28" s="2">
        <v>0</v>
      </c>
      <c r="Q28" s="6">
        <v>1</v>
      </c>
      <c r="R28" s="2">
        <v>1</v>
      </c>
      <c r="S28" s="2" t="s">
        <v>44</v>
      </c>
      <c r="T28" s="2" t="s">
        <v>44</v>
      </c>
      <c r="U28" s="2" t="s">
        <v>44</v>
      </c>
      <c r="V28" s="2" t="s">
        <v>44</v>
      </c>
      <c r="W28" s="2">
        <v>8</v>
      </c>
      <c r="X28" s="2">
        <v>2</v>
      </c>
      <c r="Y28" s="2">
        <v>15</v>
      </c>
      <c r="Z28" s="29">
        <f t="shared" si="4"/>
        <v>2.3051643192488265</v>
      </c>
      <c r="AA28" s="2">
        <v>9</v>
      </c>
      <c r="AB28" s="29">
        <f t="shared" si="5"/>
        <v>1.4775280898876404</v>
      </c>
      <c r="AC28" s="2">
        <v>34</v>
      </c>
      <c r="AD28" s="29">
        <f t="shared" si="6"/>
        <v>1.0928961748633923E-2</v>
      </c>
      <c r="AE28" s="2">
        <v>10</v>
      </c>
      <c r="AF28" s="29">
        <f t="shared" si="7"/>
        <v>-1.0001166997315905</v>
      </c>
      <c r="AG28" s="2">
        <v>27</v>
      </c>
      <c r="AH28" s="29">
        <v>0.53641422695378671</v>
      </c>
      <c r="AI28" s="2">
        <v>73</v>
      </c>
      <c r="AJ28" s="29">
        <v>0.50686125027227191</v>
      </c>
    </row>
    <row r="29" spans="1:36" x14ac:dyDescent="0.2">
      <c r="A29" s="2" t="s">
        <v>76</v>
      </c>
      <c r="B29" s="2" t="s">
        <v>42</v>
      </c>
      <c r="C29" s="2" t="s">
        <v>43</v>
      </c>
      <c r="D29" s="3">
        <v>66</v>
      </c>
      <c r="E29" s="3">
        <v>0</v>
      </c>
      <c r="F29" s="2">
        <v>27</v>
      </c>
      <c r="G29" s="3" t="s">
        <v>44</v>
      </c>
      <c r="H29" s="4">
        <v>15</v>
      </c>
      <c r="I29" s="26">
        <v>0.28490562097841732</v>
      </c>
      <c r="J29" s="5">
        <v>7.802777777777778</v>
      </c>
      <c r="K29" s="2">
        <v>1500</v>
      </c>
      <c r="L29" s="2">
        <v>0</v>
      </c>
      <c r="M29" s="2">
        <v>11</v>
      </c>
      <c r="N29" s="2">
        <v>12</v>
      </c>
      <c r="O29" s="2">
        <v>13</v>
      </c>
      <c r="P29" s="2">
        <v>0</v>
      </c>
      <c r="Q29" s="6">
        <v>2</v>
      </c>
      <c r="R29" s="2">
        <v>1</v>
      </c>
      <c r="S29" s="2" t="s">
        <v>44</v>
      </c>
      <c r="T29" s="2" t="s">
        <v>44</v>
      </c>
      <c r="U29" s="2" t="s">
        <v>44</v>
      </c>
      <c r="V29" s="2" t="s">
        <v>44</v>
      </c>
      <c r="W29" s="2">
        <v>13</v>
      </c>
      <c r="X29" s="2">
        <v>12</v>
      </c>
      <c r="Y29" s="2">
        <v>9</v>
      </c>
      <c r="Z29" s="29">
        <f t="shared" si="4"/>
        <v>-0.51173708920187788</v>
      </c>
      <c r="AA29" s="2">
        <v>6</v>
      </c>
      <c r="AB29" s="29">
        <f t="shared" si="5"/>
        <v>-0.20786516853932591</v>
      </c>
      <c r="AC29" s="2">
        <v>23</v>
      </c>
      <c r="AD29" s="29">
        <f t="shared" si="6"/>
        <v>-0.84777517564402805</v>
      </c>
      <c r="AE29" s="2">
        <v>10</v>
      </c>
      <c r="AF29" s="29">
        <f t="shared" si="7"/>
        <v>-1.0001166997315905</v>
      </c>
      <c r="AG29" s="2">
        <v>37</v>
      </c>
      <c r="AH29" s="29">
        <v>0.29445923058311158</v>
      </c>
      <c r="AI29" s="2">
        <v>138</v>
      </c>
      <c r="AJ29" s="29">
        <v>-0.20104552385101279</v>
      </c>
    </row>
    <row r="30" spans="1:36" x14ac:dyDescent="0.2">
      <c r="A30" s="2" t="s">
        <v>77</v>
      </c>
      <c r="B30" s="2" t="s">
        <v>42</v>
      </c>
      <c r="C30" s="2" t="s">
        <v>43</v>
      </c>
      <c r="D30" s="3">
        <v>56</v>
      </c>
      <c r="E30" s="3">
        <v>1</v>
      </c>
      <c r="F30" s="10">
        <v>30</v>
      </c>
      <c r="G30" s="3">
        <v>30</v>
      </c>
      <c r="H30" s="7">
        <v>14</v>
      </c>
      <c r="I30" s="26">
        <v>0.15261744866906471</v>
      </c>
      <c r="J30" s="5">
        <v>7.1916666666666664</v>
      </c>
      <c r="K30" s="10">
        <v>875</v>
      </c>
      <c r="L30" s="2">
        <v>0</v>
      </c>
      <c r="M30" s="10">
        <v>6</v>
      </c>
      <c r="N30" s="10">
        <v>4</v>
      </c>
      <c r="O30" s="10">
        <v>8</v>
      </c>
      <c r="P30" s="10">
        <v>0</v>
      </c>
      <c r="Q30" s="8">
        <v>2</v>
      </c>
      <c r="R30" s="2">
        <v>0</v>
      </c>
      <c r="S30" s="2" t="s">
        <v>44</v>
      </c>
      <c r="T30" s="2" t="s">
        <v>44</v>
      </c>
      <c r="U30" s="2" t="s">
        <v>44</v>
      </c>
      <c r="V30" s="2" t="s">
        <v>44</v>
      </c>
      <c r="W30" s="2">
        <v>1</v>
      </c>
      <c r="X30" s="2">
        <v>4</v>
      </c>
      <c r="Y30" s="2">
        <v>12</v>
      </c>
      <c r="Z30" s="29">
        <f t="shared" si="4"/>
        <v>0.89671361502347424</v>
      </c>
      <c r="AA30" s="2">
        <v>9</v>
      </c>
      <c r="AB30" s="29">
        <f t="shared" si="5"/>
        <v>1.4775280898876404</v>
      </c>
      <c r="AC30" s="2">
        <v>47</v>
      </c>
      <c r="AD30" s="29">
        <f t="shared" si="6"/>
        <v>1.0257611241217799</v>
      </c>
      <c r="AE30" s="2">
        <v>28</v>
      </c>
      <c r="AF30" s="29">
        <f t="shared" si="7"/>
        <v>1.1004784688995215</v>
      </c>
      <c r="AG30" s="2">
        <v>25</v>
      </c>
      <c r="AH30" s="29">
        <v>0.58480522622792164</v>
      </c>
      <c r="AI30" s="2">
        <v>54</v>
      </c>
      <c r="AJ30" s="29">
        <v>0.71378784578523213</v>
      </c>
    </row>
    <row r="31" spans="1:36" x14ac:dyDescent="0.2">
      <c r="A31" s="2" t="s">
        <v>78</v>
      </c>
      <c r="B31" s="2" t="s">
        <v>42</v>
      </c>
      <c r="C31" s="2" t="s">
        <v>43</v>
      </c>
      <c r="D31" s="3">
        <v>79</v>
      </c>
      <c r="E31" s="4">
        <v>1</v>
      </c>
      <c r="F31" s="2">
        <v>28</v>
      </c>
      <c r="G31" s="30">
        <v>23</v>
      </c>
      <c r="H31" s="7">
        <v>9</v>
      </c>
      <c r="I31" s="26">
        <v>0.66068711503597122</v>
      </c>
      <c r="J31" s="5">
        <v>10.880555555555556</v>
      </c>
      <c r="K31" s="9">
        <v>1300</v>
      </c>
      <c r="L31" s="2">
        <v>0</v>
      </c>
      <c r="M31" s="2">
        <v>4</v>
      </c>
      <c r="N31" s="2">
        <v>6</v>
      </c>
      <c r="O31" s="2">
        <v>31</v>
      </c>
      <c r="P31" s="2">
        <v>5</v>
      </c>
      <c r="Q31" s="6">
        <v>2</v>
      </c>
      <c r="R31" s="2">
        <v>0</v>
      </c>
      <c r="S31" s="2" t="s">
        <v>44</v>
      </c>
      <c r="T31" s="2" t="s">
        <v>44</v>
      </c>
      <c r="U31" s="2" t="s">
        <v>44</v>
      </c>
      <c r="V31" s="2" t="s">
        <v>44</v>
      </c>
      <c r="W31" s="2">
        <v>2</v>
      </c>
      <c r="X31" s="2">
        <v>5</v>
      </c>
      <c r="Y31" s="2">
        <v>8</v>
      </c>
      <c r="Z31" s="29">
        <f t="shared" si="4"/>
        <v>-0.98122065727699526</v>
      </c>
      <c r="AA31" s="2">
        <v>6</v>
      </c>
      <c r="AB31" s="29">
        <f t="shared" si="5"/>
        <v>-0.20786516853932591</v>
      </c>
      <c r="AC31" s="2">
        <v>45</v>
      </c>
      <c r="AD31" s="29">
        <f t="shared" si="6"/>
        <v>0.86963309914129583</v>
      </c>
      <c r="AE31" s="2">
        <v>24</v>
      </c>
      <c r="AF31" s="29">
        <f t="shared" si="7"/>
        <v>0.63367954253705205</v>
      </c>
      <c r="AG31" s="2">
        <v>48</v>
      </c>
      <c r="AH31" s="29">
        <v>2.8308734575369025E-2</v>
      </c>
      <c r="AI31" s="2">
        <v>162</v>
      </c>
      <c r="AJ31" s="29">
        <v>-0.46242648660422564</v>
      </c>
    </row>
    <row r="32" spans="1:36" x14ac:dyDescent="0.2">
      <c r="A32" s="2" t="s">
        <v>79</v>
      </c>
      <c r="B32" s="2" t="s">
        <v>42</v>
      </c>
      <c r="C32" s="2" t="s">
        <v>43</v>
      </c>
      <c r="D32" s="3">
        <v>54</v>
      </c>
      <c r="E32" s="3">
        <v>1</v>
      </c>
      <c r="F32" s="2">
        <v>30</v>
      </c>
      <c r="G32" s="3">
        <v>29</v>
      </c>
      <c r="H32" s="4">
        <v>14</v>
      </c>
      <c r="I32" s="26">
        <v>0.17021662597619039</v>
      </c>
      <c r="J32" s="5">
        <v>2.3250000000000002</v>
      </c>
      <c r="K32" s="2">
        <v>225</v>
      </c>
      <c r="L32" s="2">
        <v>0</v>
      </c>
      <c r="M32" s="2">
        <v>8</v>
      </c>
      <c r="N32" s="2">
        <v>8</v>
      </c>
      <c r="O32" s="2">
        <v>21</v>
      </c>
      <c r="P32" s="2">
        <v>0</v>
      </c>
      <c r="Q32" s="6">
        <v>2</v>
      </c>
      <c r="R32" s="2">
        <v>0</v>
      </c>
      <c r="S32" s="2" t="s">
        <v>44</v>
      </c>
      <c r="T32" s="2" t="s">
        <v>44</v>
      </c>
      <c r="U32" s="2" t="s">
        <v>44</v>
      </c>
      <c r="V32" s="2" t="s">
        <v>44</v>
      </c>
      <c r="W32" s="2">
        <v>2</v>
      </c>
      <c r="X32" s="2">
        <v>4</v>
      </c>
      <c r="Y32" s="2">
        <v>9</v>
      </c>
      <c r="Z32" s="29">
        <f t="shared" si="4"/>
        <v>-0.51173708920187788</v>
      </c>
      <c r="AA32" s="2">
        <v>7</v>
      </c>
      <c r="AB32" s="29">
        <f t="shared" si="5"/>
        <v>0.35393258426966284</v>
      </c>
      <c r="AC32" s="2">
        <v>44</v>
      </c>
      <c r="AD32" s="29">
        <f t="shared" si="6"/>
        <v>0.79156908665105385</v>
      </c>
      <c r="AE32" s="2">
        <v>30</v>
      </c>
      <c r="AF32" s="29">
        <f t="shared" si="7"/>
        <v>1.3338779320807561</v>
      </c>
      <c r="AG32" s="2">
        <v>29</v>
      </c>
      <c r="AH32" s="29">
        <v>0.48802322767965167</v>
      </c>
      <c r="AI32" s="2">
        <v>50</v>
      </c>
      <c r="AJ32" s="29">
        <v>0.75735133957743428</v>
      </c>
    </row>
    <row r="33" spans="1:54" x14ac:dyDescent="0.2">
      <c r="A33" s="2" t="s">
        <v>80</v>
      </c>
      <c r="B33" s="2" t="s">
        <v>42</v>
      </c>
      <c r="C33" s="2" t="s">
        <v>43</v>
      </c>
      <c r="D33" s="3">
        <v>61</v>
      </c>
      <c r="E33" s="3">
        <v>1</v>
      </c>
      <c r="F33" s="2">
        <v>27</v>
      </c>
      <c r="G33" s="3">
        <v>27</v>
      </c>
      <c r="H33" s="4">
        <v>10</v>
      </c>
      <c r="I33" s="26">
        <v>7.2310121944444417E-2</v>
      </c>
      <c r="J33" s="5">
        <v>1.8527777777777779</v>
      </c>
      <c r="K33" s="2">
        <v>600</v>
      </c>
      <c r="L33" s="2">
        <v>0</v>
      </c>
      <c r="M33" s="2">
        <v>12</v>
      </c>
      <c r="N33" s="2">
        <v>8</v>
      </c>
      <c r="O33" s="2">
        <v>18</v>
      </c>
      <c r="P33" s="2">
        <v>0</v>
      </c>
      <c r="Q33" s="6">
        <v>2.5</v>
      </c>
      <c r="R33" s="2">
        <v>1</v>
      </c>
      <c r="S33" s="2" t="s">
        <v>44</v>
      </c>
      <c r="T33" s="2" t="s">
        <v>44</v>
      </c>
      <c r="U33" s="2" t="s">
        <v>44</v>
      </c>
      <c r="V33" s="2" t="s">
        <v>44</v>
      </c>
      <c r="W33" s="2">
        <v>5</v>
      </c>
      <c r="X33" s="2">
        <v>4</v>
      </c>
      <c r="Y33" s="2">
        <v>12</v>
      </c>
      <c r="Z33" s="29">
        <f t="shared" si="4"/>
        <v>0.89671361502347424</v>
      </c>
      <c r="AA33" s="2">
        <v>6</v>
      </c>
      <c r="AB33" s="29">
        <f t="shared" si="5"/>
        <v>-0.20786516853932591</v>
      </c>
      <c r="AC33" s="2">
        <v>36</v>
      </c>
      <c r="AD33" s="29">
        <f t="shared" si="6"/>
        <v>0.16705698672911792</v>
      </c>
      <c r="AE33" s="2">
        <v>26</v>
      </c>
      <c r="AF33" s="29">
        <f t="shared" si="7"/>
        <v>0.86707900571828678</v>
      </c>
      <c r="AG33" s="2">
        <v>32</v>
      </c>
      <c r="AH33" s="29">
        <v>0.41543672876844912</v>
      </c>
      <c r="AI33" s="2">
        <v>63</v>
      </c>
      <c r="AJ33" s="29">
        <v>0.61576998475277733</v>
      </c>
    </row>
    <row r="34" spans="1:54" x14ac:dyDescent="0.2">
      <c r="A34" s="2" t="s">
        <v>81</v>
      </c>
      <c r="B34" s="2" t="s">
        <v>42</v>
      </c>
      <c r="C34" s="2" t="s">
        <v>43</v>
      </c>
      <c r="D34" s="3">
        <v>76</v>
      </c>
      <c r="E34" s="3">
        <v>0</v>
      </c>
      <c r="F34" s="2">
        <v>30</v>
      </c>
      <c r="G34" s="3">
        <v>27</v>
      </c>
      <c r="H34" s="4">
        <v>16</v>
      </c>
      <c r="I34" s="26">
        <v>0.20870847249999999</v>
      </c>
      <c r="J34" s="5">
        <v>3.6222222222222222</v>
      </c>
      <c r="K34" s="2">
        <v>400</v>
      </c>
      <c r="L34" s="2">
        <v>0</v>
      </c>
      <c r="M34" s="2">
        <v>10</v>
      </c>
      <c r="N34" s="2">
        <v>28</v>
      </c>
      <c r="O34" s="2">
        <v>54</v>
      </c>
      <c r="P34" s="2">
        <v>0</v>
      </c>
      <c r="Q34" s="6">
        <v>2</v>
      </c>
      <c r="R34" s="2">
        <v>1</v>
      </c>
      <c r="S34" s="2" t="s">
        <v>44</v>
      </c>
      <c r="T34" s="2">
        <v>3</v>
      </c>
      <c r="U34" s="2">
        <v>4</v>
      </c>
      <c r="V34" s="2">
        <v>7</v>
      </c>
      <c r="W34" s="2">
        <v>7</v>
      </c>
      <c r="X34" s="2">
        <v>5</v>
      </c>
      <c r="Y34" s="2">
        <v>12</v>
      </c>
      <c r="Z34" s="29">
        <f t="shared" si="4"/>
        <v>0.89671361502347424</v>
      </c>
      <c r="AA34" s="2">
        <v>8</v>
      </c>
      <c r="AB34" s="29">
        <f t="shared" si="5"/>
        <v>0.91573033707865159</v>
      </c>
      <c r="AC34" s="2">
        <v>30</v>
      </c>
      <c r="AD34" s="29">
        <f t="shared" si="6"/>
        <v>-0.30132708821233406</v>
      </c>
      <c r="AE34" s="2">
        <v>16</v>
      </c>
      <c r="AF34" s="29">
        <f t="shared" si="7"/>
        <v>-0.29991831018788656</v>
      </c>
      <c r="AG34" s="2">
        <v>40</v>
      </c>
      <c r="AH34" s="29">
        <v>0.22187273167190907</v>
      </c>
      <c r="AI34" s="2">
        <v>95</v>
      </c>
      <c r="AJ34" s="29">
        <v>0.26726203441516017</v>
      </c>
    </row>
    <row r="35" spans="1:54" x14ac:dyDescent="0.2">
      <c r="A35" s="2" t="s">
        <v>82</v>
      </c>
      <c r="B35" s="2" t="s">
        <v>42</v>
      </c>
      <c r="C35" s="2" t="s">
        <v>43</v>
      </c>
      <c r="D35" s="3">
        <v>73</v>
      </c>
      <c r="E35" s="3">
        <v>0</v>
      </c>
      <c r="F35" s="2">
        <v>28</v>
      </c>
      <c r="G35" s="3">
        <v>23</v>
      </c>
      <c r="H35" s="4">
        <v>17</v>
      </c>
      <c r="I35" s="26">
        <v>0.35079862657142852</v>
      </c>
      <c r="J35" s="5">
        <v>10.725</v>
      </c>
      <c r="K35" s="2">
        <v>1050</v>
      </c>
      <c r="L35" s="2">
        <v>0</v>
      </c>
      <c r="M35" s="2">
        <v>9</v>
      </c>
      <c r="N35" s="2">
        <v>16</v>
      </c>
      <c r="O35" s="2">
        <v>39</v>
      </c>
      <c r="P35" s="2">
        <v>2</v>
      </c>
      <c r="Q35" s="6">
        <v>3</v>
      </c>
      <c r="R35" s="2">
        <v>3</v>
      </c>
      <c r="S35" s="2" t="s">
        <v>44</v>
      </c>
      <c r="T35" s="2">
        <v>21</v>
      </c>
      <c r="U35" s="2">
        <v>15</v>
      </c>
      <c r="V35" s="2">
        <v>36</v>
      </c>
      <c r="W35" s="2">
        <v>5</v>
      </c>
      <c r="X35" s="2">
        <v>4</v>
      </c>
      <c r="Y35" s="2">
        <v>9</v>
      </c>
      <c r="Z35" s="29">
        <f t="shared" si="4"/>
        <v>-0.51173708920187788</v>
      </c>
      <c r="AA35" s="2">
        <v>5</v>
      </c>
      <c r="AB35" s="29">
        <f t="shared" si="5"/>
        <v>-0.76966292134831471</v>
      </c>
      <c r="AC35" s="2">
        <v>30</v>
      </c>
      <c r="AD35" s="29">
        <f t="shared" si="6"/>
        <v>-0.30132708821233406</v>
      </c>
      <c r="AE35" s="2">
        <v>20</v>
      </c>
      <c r="AF35" s="29">
        <f t="shared" si="7"/>
        <v>0.16688061617458275</v>
      </c>
      <c r="AG35" s="2">
        <v>51</v>
      </c>
      <c r="AH35" s="29">
        <v>-4.4277764335833497E-2</v>
      </c>
      <c r="AI35" s="2">
        <v>135</v>
      </c>
      <c r="AJ35" s="29">
        <v>-0.16837290350686118</v>
      </c>
    </row>
    <row r="36" spans="1:54" x14ac:dyDescent="0.2">
      <c r="A36" s="2" t="s">
        <v>83</v>
      </c>
      <c r="B36" s="2" t="s">
        <v>42</v>
      </c>
      <c r="C36" s="2" t="s">
        <v>43</v>
      </c>
      <c r="D36" s="3">
        <v>61</v>
      </c>
      <c r="E36" s="3">
        <v>0</v>
      </c>
      <c r="F36" s="2">
        <v>26</v>
      </c>
      <c r="G36" s="3">
        <v>26</v>
      </c>
      <c r="H36" s="4">
        <v>10</v>
      </c>
      <c r="I36" s="26">
        <v>0.41701622115873022</v>
      </c>
      <c r="J36" s="5">
        <v>8.7249999999999996</v>
      </c>
      <c r="K36" s="2">
        <v>1450</v>
      </c>
      <c r="L36" s="2">
        <v>0</v>
      </c>
      <c r="M36" s="2">
        <v>7</v>
      </c>
      <c r="N36" s="2">
        <v>6</v>
      </c>
      <c r="O36" s="2">
        <v>11</v>
      </c>
      <c r="P36" s="2">
        <v>0</v>
      </c>
      <c r="Q36" s="6">
        <v>1</v>
      </c>
      <c r="R36" s="2">
        <v>0</v>
      </c>
      <c r="S36" s="2" t="s">
        <v>44</v>
      </c>
      <c r="T36" s="2" t="s">
        <v>44</v>
      </c>
      <c r="U36" s="2" t="s">
        <v>44</v>
      </c>
      <c r="V36" s="2" t="s">
        <v>44</v>
      </c>
      <c r="W36" s="2">
        <v>7</v>
      </c>
      <c r="X36" s="2">
        <v>7</v>
      </c>
      <c r="Y36" s="2">
        <v>10</v>
      </c>
      <c r="Z36" s="29">
        <f t="shared" si="4"/>
        <v>-4.22535211267605E-2</v>
      </c>
      <c r="AA36" s="2">
        <v>6</v>
      </c>
      <c r="AB36" s="29">
        <f t="shared" si="5"/>
        <v>-0.20786516853932591</v>
      </c>
      <c r="AC36" s="2">
        <v>40</v>
      </c>
      <c r="AD36" s="29">
        <f t="shared" si="6"/>
        <v>0.4793130366900859</v>
      </c>
      <c r="AE36" s="2">
        <v>26</v>
      </c>
      <c r="AF36" s="29">
        <f t="shared" si="7"/>
        <v>0.86707900571828678</v>
      </c>
      <c r="AG36" s="2">
        <v>43</v>
      </c>
      <c r="AH36" s="29">
        <v>0.14928623276070654</v>
      </c>
      <c r="AI36" s="2">
        <v>88</v>
      </c>
      <c r="AJ36" s="29">
        <v>0.34349814855151395</v>
      </c>
    </row>
    <row r="37" spans="1:54" x14ac:dyDescent="0.2">
      <c r="A37" s="2" t="s">
        <v>84</v>
      </c>
      <c r="B37" s="2" t="s">
        <v>42</v>
      </c>
      <c r="C37" s="2" t="s">
        <v>43</v>
      </c>
      <c r="D37" s="3">
        <v>64</v>
      </c>
      <c r="E37" s="3">
        <v>0</v>
      </c>
      <c r="F37" s="10">
        <v>30</v>
      </c>
      <c r="G37" s="3">
        <v>30</v>
      </c>
      <c r="H37" s="7">
        <v>20</v>
      </c>
      <c r="I37" s="26">
        <v>0.1830624941438849</v>
      </c>
      <c r="J37" s="5">
        <v>7.9388888888888891</v>
      </c>
      <c r="K37" s="10">
        <v>550</v>
      </c>
      <c r="L37" s="2">
        <v>0</v>
      </c>
      <c r="M37" s="2">
        <v>15</v>
      </c>
      <c r="N37" s="2">
        <v>10</v>
      </c>
      <c r="O37" s="2">
        <v>18</v>
      </c>
      <c r="P37" s="2">
        <v>0</v>
      </c>
      <c r="Q37" s="6">
        <v>2</v>
      </c>
      <c r="R37" s="2">
        <v>0</v>
      </c>
      <c r="S37" s="2" t="s">
        <v>44</v>
      </c>
      <c r="T37" s="2">
        <v>2</v>
      </c>
      <c r="U37" s="2">
        <v>2</v>
      </c>
      <c r="V37" s="2">
        <v>4</v>
      </c>
      <c r="W37" s="2">
        <v>3</v>
      </c>
      <c r="X37" s="2">
        <v>2</v>
      </c>
      <c r="Y37" s="2">
        <v>13</v>
      </c>
      <c r="Z37" s="29">
        <f t="shared" si="4"/>
        <v>1.3661971830985917</v>
      </c>
      <c r="AA37" s="2">
        <v>8</v>
      </c>
      <c r="AB37" s="29">
        <f t="shared" si="5"/>
        <v>0.91573033707865159</v>
      </c>
      <c r="AC37" s="2">
        <v>53</v>
      </c>
      <c r="AD37" s="29">
        <f t="shared" si="6"/>
        <v>1.4941451990632317</v>
      </c>
      <c r="AE37" s="2">
        <v>25</v>
      </c>
      <c r="AF37" s="29">
        <f t="shared" si="7"/>
        <v>0.75037927412766936</v>
      </c>
      <c r="AG37" s="2">
        <v>29</v>
      </c>
      <c r="AH37" s="29">
        <v>0.48802322767965167</v>
      </c>
      <c r="AI37" s="2">
        <v>40</v>
      </c>
      <c r="AJ37" s="29">
        <v>0.86626007405793959</v>
      </c>
    </row>
    <row r="38" spans="1:54" x14ac:dyDescent="0.2">
      <c r="A38" s="2" t="s">
        <v>85</v>
      </c>
      <c r="B38" s="2" t="s">
        <v>42</v>
      </c>
      <c r="C38" s="2" t="s">
        <v>43</v>
      </c>
      <c r="D38" s="3">
        <v>56</v>
      </c>
      <c r="E38" s="2">
        <v>0</v>
      </c>
      <c r="F38" s="6">
        <v>28</v>
      </c>
      <c r="G38" s="4">
        <v>27</v>
      </c>
      <c r="H38" s="4">
        <v>16</v>
      </c>
      <c r="I38" s="26">
        <v>6.1285494028776942E-2</v>
      </c>
      <c r="J38" s="5">
        <v>1.3888888888888888</v>
      </c>
      <c r="K38" s="6">
        <v>200</v>
      </c>
      <c r="L38" s="2">
        <v>0</v>
      </c>
      <c r="M38" s="6">
        <v>12</v>
      </c>
      <c r="N38" s="6">
        <v>12</v>
      </c>
      <c r="O38" s="6">
        <v>11</v>
      </c>
      <c r="P38" s="6">
        <v>0</v>
      </c>
      <c r="Q38" s="6">
        <v>1.5</v>
      </c>
      <c r="R38" s="2">
        <v>1</v>
      </c>
      <c r="S38" s="2" t="s">
        <v>44</v>
      </c>
      <c r="T38" s="2" t="s">
        <v>44</v>
      </c>
      <c r="U38" s="2" t="s">
        <v>44</v>
      </c>
      <c r="V38" s="2" t="s">
        <v>44</v>
      </c>
      <c r="W38" s="2">
        <v>12</v>
      </c>
      <c r="X38" s="2">
        <v>4</v>
      </c>
      <c r="Y38" s="2">
        <v>7</v>
      </c>
      <c r="Z38" s="29">
        <f t="shared" si="4"/>
        <v>-1.4507042253521127</v>
      </c>
      <c r="AA38" s="2">
        <v>6</v>
      </c>
      <c r="AB38" s="29">
        <f t="shared" si="5"/>
        <v>-0.20786516853932591</v>
      </c>
      <c r="AC38" s="2">
        <v>17</v>
      </c>
      <c r="AD38" s="29">
        <f t="shared" si="6"/>
        <v>-1.31615925058548</v>
      </c>
      <c r="AE38" s="2">
        <v>10</v>
      </c>
      <c r="AF38" s="29">
        <f t="shared" si="7"/>
        <v>-1.0001166997315905</v>
      </c>
      <c r="AG38" s="2">
        <v>32</v>
      </c>
      <c r="AH38" s="29">
        <v>0.41543672876844912</v>
      </c>
      <c r="AI38" s="2">
        <v>54</v>
      </c>
      <c r="AJ38" s="29">
        <v>0.71378784578523213</v>
      </c>
      <c r="AS38" s="9"/>
      <c r="AT38" s="9"/>
      <c r="AU38" s="9"/>
      <c r="AV38" s="9"/>
      <c r="AW38" s="9"/>
      <c r="AX38" s="9"/>
      <c r="AY38" s="9"/>
      <c r="AZ38" s="9"/>
      <c r="BA38" s="9"/>
      <c r="BB38" s="9"/>
    </row>
    <row r="39" spans="1:54" x14ac:dyDescent="0.2">
      <c r="A39" s="2" t="s">
        <v>86</v>
      </c>
      <c r="B39" s="2" t="s">
        <v>42</v>
      </c>
      <c r="C39" s="2" t="s">
        <v>43</v>
      </c>
      <c r="D39" s="3">
        <v>45</v>
      </c>
      <c r="E39" s="3">
        <v>1</v>
      </c>
      <c r="F39" s="2">
        <v>30</v>
      </c>
      <c r="G39" s="3">
        <v>30</v>
      </c>
      <c r="H39" s="4">
        <v>15</v>
      </c>
      <c r="I39" s="26">
        <v>9.6910463359712193E-2</v>
      </c>
      <c r="J39" s="5">
        <v>0.48055555555555557</v>
      </c>
      <c r="K39" s="2">
        <v>750</v>
      </c>
      <c r="L39" s="2">
        <v>0</v>
      </c>
      <c r="M39" s="2">
        <v>7</v>
      </c>
      <c r="N39" s="2">
        <v>1</v>
      </c>
      <c r="O39" s="2">
        <v>10</v>
      </c>
      <c r="P39" s="2">
        <v>0</v>
      </c>
      <c r="Q39" s="6">
        <v>1</v>
      </c>
      <c r="R39" s="2">
        <v>0</v>
      </c>
      <c r="S39" s="2" t="s">
        <v>44</v>
      </c>
      <c r="T39" s="2">
        <v>0</v>
      </c>
      <c r="U39" s="2">
        <v>2</v>
      </c>
      <c r="V39" s="2">
        <v>2</v>
      </c>
      <c r="W39" s="2">
        <v>4</v>
      </c>
      <c r="X39" s="2">
        <v>4</v>
      </c>
      <c r="Y39" s="2">
        <v>9</v>
      </c>
      <c r="Z39" s="29">
        <f t="shared" si="4"/>
        <v>-0.51173708920187788</v>
      </c>
      <c r="AA39" s="2">
        <v>7</v>
      </c>
      <c r="AB39" s="29">
        <f t="shared" si="5"/>
        <v>0.35393258426966284</v>
      </c>
      <c r="AC39" s="2">
        <v>37</v>
      </c>
      <c r="AD39" s="29">
        <f t="shared" si="6"/>
        <v>0.2451209992193599</v>
      </c>
      <c r="AE39" s="2">
        <v>21</v>
      </c>
      <c r="AF39" s="29">
        <f t="shared" si="7"/>
        <v>0.28358034776520008</v>
      </c>
      <c r="AG39" s="2">
        <v>17</v>
      </c>
      <c r="AH39" s="29">
        <v>0.77836922332446168</v>
      </c>
      <c r="AI39" s="2">
        <v>47</v>
      </c>
      <c r="AJ39" s="29">
        <v>0.79002395992158581</v>
      </c>
    </row>
    <row r="40" spans="1:54" x14ac:dyDescent="0.2">
      <c r="A40" s="2" t="s">
        <v>87</v>
      </c>
      <c r="B40" s="2" t="s">
        <v>42</v>
      </c>
      <c r="C40" s="2" t="s">
        <v>43</v>
      </c>
      <c r="D40" s="3">
        <v>54</v>
      </c>
      <c r="E40" s="3">
        <v>0</v>
      </c>
      <c r="F40" s="2">
        <v>30</v>
      </c>
      <c r="G40" s="3">
        <v>29</v>
      </c>
      <c r="H40" s="4">
        <v>13</v>
      </c>
      <c r="I40" s="26">
        <v>9.1283612579856094E-2</v>
      </c>
      <c r="J40" s="5">
        <v>1.325</v>
      </c>
      <c r="K40" s="2">
        <v>100</v>
      </c>
      <c r="L40" s="2">
        <v>0</v>
      </c>
      <c r="M40" s="2">
        <v>5</v>
      </c>
      <c r="N40" s="2">
        <v>8</v>
      </c>
      <c r="O40" s="2">
        <v>15</v>
      </c>
      <c r="P40" s="2">
        <v>0</v>
      </c>
      <c r="Q40" s="6">
        <v>1</v>
      </c>
      <c r="R40" s="2">
        <v>0</v>
      </c>
      <c r="S40" s="2" t="s">
        <v>44</v>
      </c>
      <c r="T40" s="2">
        <v>0</v>
      </c>
      <c r="U40" s="2">
        <v>3</v>
      </c>
      <c r="V40" s="2">
        <v>3</v>
      </c>
      <c r="W40" s="2">
        <v>0</v>
      </c>
      <c r="X40" s="2">
        <v>3</v>
      </c>
      <c r="Y40" s="2">
        <v>9</v>
      </c>
      <c r="Z40" s="29">
        <f t="shared" si="4"/>
        <v>-0.51173708920187788</v>
      </c>
      <c r="AA40" s="2">
        <v>5</v>
      </c>
      <c r="AB40" s="29">
        <f t="shared" si="5"/>
        <v>-0.76966292134831471</v>
      </c>
      <c r="AC40" s="2">
        <v>42</v>
      </c>
      <c r="AD40" s="29">
        <f t="shared" si="6"/>
        <v>0.63544106167056991</v>
      </c>
      <c r="AE40" s="2">
        <v>28</v>
      </c>
      <c r="AF40" s="29">
        <f t="shared" si="7"/>
        <v>1.1004784688995215</v>
      </c>
      <c r="AG40" s="2">
        <v>29</v>
      </c>
      <c r="AH40" s="29">
        <v>0.48802322767965167</v>
      </c>
      <c r="AI40" s="2">
        <v>60</v>
      </c>
      <c r="AJ40" s="29">
        <v>0.64844260509692886</v>
      </c>
    </row>
  </sheetData>
  <autoFilter ref="A1:AJ40" xr:uid="{602483F9-B6A0-CD4B-8243-BE7B7E16442C}">
    <sortState xmlns:xlrd2="http://schemas.microsoft.com/office/spreadsheetml/2017/richdata2" ref="A2:AJ40">
      <sortCondition ref="C1:C40"/>
    </sortState>
  </autoFilter>
  <phoneticPr fontId="13" type="noConversion"/>
  <conditionalFormatting sqref="A12:A25">
    <cfRule type="duplicateValues" dxfId="5" priority="3"/>
  </conditionalFormatting>
  <conditionalFormatting sqref="A38">
    <cfRule type="duplicateValues" dxfId="4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B54C-5B26-E14E-B77D-D3A34827E671}">
  <dimension ref="A1:N40"/>
  <sheetViews>
    <sheetView workbookViewId="0">
      <selection sqref="A1:C1048576"/>
    </sheetView>
  </sheetViews>
  <sheetFormatPr baseColWidth="10" defaultRowHeight="16" x14ac:dyDescent="0.2"/>
  <cols>
    <col min="1" max="1" width="20" style="2" customWidth="1"/>
    <col min="2" max="4" width="10.83203125" style="2"/>
    <col min="5" max="14" width="10.83203125" style="17"/>
  </cols>
  <sheetData>
    <row r="1" spans="1:14" x14ac:dyDescent="0.2">
      <c r="A1" s="1" t="s">
        <v>0</v>
      </c>
      <c r="B1" s="1" t="s">
        <v>47</v>
      </c>
      <c r="C1" s="1" t="s">
        <v>2</v>
      </c>
      <c r="D1" s="1" t="s">
        <v>1</v>
      </c>
      <c r="E1" s="18" t="s">
        <v>19</v>
      </c>
      <c r="F1" s="18" t="s">
        <v>20</v>
      </c>
      <c r="G1" s="18" t="s">
        <v>21</v>
      </c>
      <c r="H1" s="18" t="s">
        <v>22</v>
      </c>
      <c r="I1" s="18" t="s">
        <v>23</v>
      </c>
      <c r="J1" s="18" t="s">
        <v>24</v>
      </c>
      <c r="K1" s="18" t="s">
        <v>25</v>
      </c>
      <c r="L1" s="18" t="s">
        <v>26</v>
      </c>
      <c r="M1" s="18" t="s">
        <v>27</v>
      </c>
      <c r="N1" s="18" t="s">
        <v>28</v>
      </c>
    </row>
    <row r="2" spans="1:14" x14ac:dyDescent="0.2">
      <c r="A2" s="2" t="s">
        <v>49</v>
      </c>
      <c r="B2" s="13" t="s">
        <v>45</v>
      </c>
      <c r="C2" s="13" t="s">
        <v>45</v>
      </c>
      <c r="D2" s="2">
        <v>-0.60394214500615995</v>
      </c>
      <c r="E2" s="13">
        <v>-0.44654863474310402</v>
      </c>
      <c r="F2" s="13">
        <v>-0.38144898233249003</v>
      </c>
      <c r="G2" s="13">
        <v>-0.41704927886957699</v>
      </c>
      <c r="H2" s="13">
        <v>-0.26154641268101098</v>
      </c>
      <c r="I2" s="13">
        <v>-7.9700140592952606E-2</v>
      </c>
      <c r="J2" s="13">
        <v>-0.28041350848686197</v>
      </c>
      <c r="K2" s="13">
        <v>-0.26856241313957602</v>
      </c>
      <c r="L2" s="13">
        <v>-0.41399880853779703</v>
      </c>
      <c r="M2" s="13">
        <v>-0.33929784577529398</v>
      </c>
      <c r="N2" s="13">
        <v>-0.27448796081321902</v>
      </c>
    </row>
    <row r="3" spans="1:14" x14ac:dyDescent="0.2">
      <c r="A3" s="2" t="s">
        <v>50</v>
      </c>
      <c r="B3" s="13" t="s">
        <v>45</v>
      </c>
      <c r="C3" s="13" t="s">
        <v>45</v>
      </c>
      <c r="D3" s="2">
        <v>-0.26736472248326199</v>
      </c>
      <c r="E3" s="13">
        <v>-0.112628680188209</v>
      </c>
      <c r="F3" s="13">
        <v>-7.7915701386216396E-2</v>
      </c>
      <c r="G3" s="13">
        <v>-5.6387276570920103E-2</v>
      </c>
      <c r="H3" s="13">
        <v>-4.6426178193948398E-2</v>
      </c>
      <c r="I3" s="13">
        <v>-5.3929546955399803E-2</v>
      </c>
      <c r="J3" s="13">
        <v>-7.3763943939971197E-2</v>
      </c>
      <c r="K3" s="13">
        <v>-0.119322321445713</v>
      </c>
      <c r="L3" s="13">
        <v>-9.5272190787212593E-2</v>
      </c>
      <c r="M3" s="13">
        <v>-5.1406727382434202E-2</v>
      </c>
      <c r="N3" s="13">
        <v>-9.6543132692841899E-2</v>
      </c>
    </row>
    <row r="4" spans="1:14" x14ac:dyDescent="0.2">
      <c r="A4" s="2" t="s">
        <v>51</v>
      </c>
      <c r="B4" s="13" t="s">
        <v>45</v>
      </c>
      <c r="C4" s="13" t="s">
        <v>45</v>
      </c>
      <c r="D4" s="2">
        <v>-0.49704167760132201</v>
      </c>
      <c r="E4" s="13">
        <v>-0.37008415104546499</v>
      </c>
      <c r="F4" s="13">
        <v>-0.39418036916426302</v>
      </c>
      <c r="G4" s="13">
        <v>-0.42426125931998998</v>
      </c>
      <c r="H4" s="13">
        <v>-0.24354696269840601</v>
      </c>
      <c r="I4" s="13">
        <v>-0.100008995905519</v>
      </c>
      <c r="J4" s="13">
        <v>-0.28761336645659302</v>
      </c>
      <c r="K4" s="13">
        <v>-0.181359506829569</v>
      </c>
      <c r="L4" s="13">
        <v>-0.38213226010486401</v>
      </c>
      <c r="M4" s="13">
        <v>-0.33390411100919798</v>
      </c>
      <c r="N4" s="13">
        <v>-0.234486436643081</v>
      </c>
    </row>
    <row r="5" spans="1:14" x14ac:dyDescent="0.2">
      <c r="A5" s="2" t="s">
        <v>52</v>
      </c>
      <c r="B5" s="13" t="s">
        <v>45</v>
      </c>
      <c r="C5" s="13" t="s">
        <v>45</v>
      </c>
      <c r="D5" s="2">
        <v>-0.329802227340251</v>
      </c>
      <c r="E5" s="13">
        <v>-0.37843638926088002</v>
      </c>
      <c r="F5" s="13">
        <v>-1.1271598258366201E-2</v>
      </c>
      <c r="G5" s="13">
        <v>6.6980985995463094E-2</v>
      </c>
      <c r="H5" s="13">
        <v>-5.1935068311843503E-2</v>
      </c>
      <c r="I5" s="13">
        <v>-0.229616245366633</v>
      </c>
      <c r="J5" s="13">
        <v>1.70234124548733E-2</v>
      </c>
      <c r="K5" s="13">
        <v>-9.55395115162717E-2</v>
      </c>
      <c r="L5" s="13">
        <v>-0.19485399375962301</v>
      </c>
      <c r="M5" s="13">
        <v>7.52295884180979E-3</v>
      </c>
      <c r="N5" s="13">
        <v>-3.9258049530699203E-2</v>
      </c>
    </row>
    <row r="6" spans="1:14" x14ac:dyDescent="0.2">
      <c r="A6" s="2" t="s">
        <v>53</v>
      </c>
      <c r="B6" s="13" t="s">
        <v>45</v>
      </c>
      <c r="C6" s="13" t="s">
        <v>45</v>
      </c>
      <c r="D6" s="2">
        <v>-0.56509807687492397</v>
      </c>
      <c r="E6" s="13">
        <v>-0.34573526594970999</v>
      </c>
      <c r="F6" s="13">
        <v>-0.29124107652089798</v>
      </c>
      <c r="G6" s="13">
        <v>-0.35043580044546901</v>
      </c>
      <c r="H6" s="13">
        <v>-0.225606657643902</v>
      </c>
      <c r="I6" s="13">
        <v>-2.1783192716538901E-2</v>
      </c>
      <c r="J6" s="13">
        <v>-0.27845733568948899</v>
      </c>
      <c r="K6" s="13">
        <v>-0.24633185910466501</v>
      </c>
      <c r="L6" s="13">
        <v>-0.31848817123530399</v>
      </c>
      <c r="M6" s="13">
        <v>-0.28802122904468502</v>
      </c>
      <c r="N6" s="13">
        <v>-0.26239459739707699</v>
      </c>
    </row>
    <row r="7" spans="1:14" x14ac:dyDescent="0.2">
      <c r="A7" s="2" t="s">
        <v>54</v>
      </c>
      <c r="B7" s="13" t="s">
        <v>45</v>
      </c>
      <c r="C7" s="13" t="s">
        <v>45</v>
      </c>
      <c r="D7" s="2">
        <v>-0.42278468345527298</v>
      </c>
      <c r="E7" s="13">
        <v>-0.197098723255719</v>
      </c>
      <c r="F7" s="13">
        <v>-0.25578036878330601</v>
      </c>
      <c r="G7" s="13">
        <v>-0.22942970304385499</v>
      </c>
      <c r="H7" s="13">
        <v>-0.166902661165024</v>
      </c>
      <c r="I7" s="13">
        <v>-0.140811917783979</v>
      </c>
      <c r="J7" s="13">
        <v>-0.27220036519261498</v>
      </c>
      <c r="K7" s="13">
        <v>-0.10210142454938199</v>
      </c>
      <c r="L7" s="13">
        <v>-0.22643954601951199</v>
      </c>
      <c r="M7" s="13">
        <v>-0.19816618210444001</v>
      </c>
      <c r="N7" s="13">
        <v>-0.18715089487099801</v>
      </c>
    </row>
    <row r="8" spans="1:14" x14ac:dyDescent="0.2">
      <c r="A8" s="2" t="s">
        <v>55</v>
      </c>
      <c r="B8" s="13" t="s">
        <v>45</v>
      </c>
      <c r="C8" s="13" t="s">
        <v>45</v>
      </c>
      <c r="D8" s="2">
        <v>-0.209069132077179</v>
      </c>
      <c r="E8" s="13">
        <v>-9.1007743794165694E-2</v>
      </c>
      <c r="F8" s="13">
        <v>-0.16883217604216999</v>
      </c>
      <c r="G8" s="13">
        <v>-0.15875850881085399</v>
      </c>
      <c r="H8" s="13">
        <v>-0.111797985836289</v>
      </c>
      <c r="I8" s="13">
        <v>8.8053773952336906E-2</v>
      </c>
      <c r="J8" s="13">
        <v>-7.0251770505610003E-2</v>
      </c>
      <c r="K8" s="13">
        <v>-4.5706238680415699E-2</v>
      </c>
      <c r="L8" s="13">
        <v>-0.12991995991816799</v>
      </c>
      <c r="M8" s="13">
        <v>-0.13527824732357199</v>
      </c>
      <c r="N8" s="13">
        <v>-5.7979004593012799E-2</v>
      </c>
    </row>
    <row r="9" spans="1:14" x14ac:dyDescent="0.2">
      <c r="A9" s="2" t="s">
        <v>56</v>
      </c>
      <c r="B9" s="13" t="s">
        <v>45</v>
      </c>
      <c r="C9" s="13" t="s">
        <v>45</v>
      </c>
      <c r="D9" s="2">
        <v>-0.46939885994013197</v>
      </c>
      <c r="E9" s="13">
        <v>-0.30372515751323698</v>
      </c>
      <c r="F9" s="13">
        <v>-0.30193823803361403</v>
      </c>
      <c r="G9" s="13">
        <v>-0.25247912079224899</v>
      </c>
      <c r="H9" s="13">
        <v>-0.121537670473311</v>
      </c>
      <c r="I9" s="13">
        <v>-0.104518399918047</v>
      </c>
      <c r="J9" s="13">
        <v>-0.178988664831017</v>
      </c>
      <c r="K9" s="13">
        <v>-0.240600845452105</v>
      </c>
      <c r="L9" s="13">
        <v>-0.302831697773425</v>
      </c>
      <c r="M9" s="13">
        <v>-0.18700839563277999</v>
      </c>
      <c r="N9" s="13">
        <v>-0.20979475514156101</v>
      </c>
    </row>
    <row r="10" spans="1:14" x14ac:dyDescent="0.2">
      <c r="A10" s="2" t="s">
        <v>57</v>
      </c>
      <c r="B10" s="13" t="s">
        <v>45</v>
      </c>
      <c r="C10" s="13" t="s">
        <v>45</v>
      </c>
      <c r="D10" s="2">
        <v>-0.23127578502981899</v>
      </c>
      <c r="E10" s="13">
        <v>-9.5618633614456106E-2</v>
      </c>
      <c r="F10" s="13">
        <v>-0.17022519404264699</v>
      </c>
      <c r="G10" s="13">
        <v>-0.123662080474036</v>
      </c>
      <c r="H10" s="13">
        <v>-0.10379822340675</v>
      </c>
      <c r="I10" s="13">
        <v>-7.5710549666277605E-2</v>
      </c>
      <c r="J10" s="13">
        <v>-0.14328066659543401</v>
      </c>
      <c r="K10" s="13">
        <v>-0.148984358920663</v>
      </c>
      <c r="L10" s="13">
        <v>-0.13292191382855101</v>
      </c>
      <c r="M10" s="13">
        <v>-0.113730151940393</v>
      </c>
      <c r="N10" s="13">
        <v>-0.146132512758049</v>
      </c>
    </row>
    <row r="11" spans="1:14" x14ac:dyDescent="0.2">
      <c r="A11" s="2" t="s">
        <v>58</v>
      </c>
      <c r="B11" s="13" t="s">
        <v>45</v>
      </c>
      <c r="C11" s="13" t="s">
        <v>45</v>
      </c>
      <c r="D11" s="2">
        <v>-0.17299486671800099</v>
      </c>
      <c r="E11" s="13">
        <v>-0.10501145334822699</v>
      </c>
      <c r="F11" s="13">
        <v>-9.5734339063423393E-2</v>
      </c>
      <c r="G11" s="13">
        <v>-0.100740291400934</v>
      </c>
      <c r="H11" s="13">
        <v>-4.6977968292033399E-2</v>
      </c>
      <c r="I11" s="13">
        <v>3.5675975251133002E-2</v>
      </c>
      <c r="J11" s="13">
        <v>-0.11802640886511701</v>
      </c>
      <c r="K11" s="13">
        <v>-3.5979075422719803E-2</v>
      </c>
      <c r="L11" s="13">
        <v>-0.100372896205825</v>
      </c>
      <c r="M11" s="13">
        <v>-7.3859129846483698E-2</v>
      </c>
      <c r="N11" s="13">
        <v>-7.7002742143918196E-2</v>
      </c>
    </row>
    <row r="12" spans="1:14" x14ac:dyDescent="0.2">
      <c r="A12" s="2" t="s">
        <v>59</v>
      </c>
      <c r="B12" s="13" t="s">
        <v>45</v>
      </c>
      <c r="C12" s="13" t="s">
        <v>45</v>
      </c>
      <c r="D12" s="2">
        <v>-0.56019223983644295</v>
      </c>
      <c r="E12" s="13">
        <v>-0.424879547330688</v>
      </c>
      <c r="F12" s="13">
        <v>-0.27521829118320201</v>
      </c>
      <c r="G12" s="13">
        <v>-0.30543042103881402</v>
      </c>
      <c r="H12" s="13">
        <v>-0.160712626980657</v>
      </c>
      <c r="I12" s="13">
        <v>-0.141147460358647</v>
      </c>
      <c r="J12" s="13">
        <v>-0.31061768306132698</v>
      </c>
      <c r="K12" s="13">
        <v>-0.27957026469468899</v>
      </c>
      <c r="L12" s="13">
        <v>-0.35004891925694498</v>
      </c>
      <c r="M12" s="13">
        <v>-0.23307152400973599</v>
      </c>
      <c r="N12" s="13">
        <v>-0.29509397387800801</v>
      </c>
    </row>
    <row r="13" spans="1:14" x14ac:dyDescent="0.2">
      <c r="A13" s="2" t="s">
        <v>60</v>
      </c>
      <c r="B13" s="13" t="s">
        <v>45</v>
      </c>
      <c r="C13" s="13" t="s">
        <v>45</v>
      </c>
      <c r="D13" s="2">
        <v>-0.120589141014274</v>
      </c>
      <c r="E13" s="13">
        <v>-0.204450783414482</v>
      </c>
      <c r="F13" s="13">
        <v>-5.2178745524495203E-2</v>
      </c>
      <c r="G13" s="13">
        <v>-8.4612872198466998E-2</v>
      </c>
      <c r="H13" s="13">
        <v>-7.69741490007715E-2</v>
      </c>
      <c r="I13" s="13">
        <v>-0.14208676693184899</v>
      </c>
      <c r="J13" s="13">
        <v>-0.10076261367922799</v>
      </c>
      <c r="K13" s="13">
        <v>-8.90200112958104E-2</v>
      </c>
      <c r="L13" s="13">
        <v>-0.128314764469489</v>
      </c>
      <c r="M13" s="13">
        <v>-8.0793510599619298E-2</v>
      </c>
      <c r="N13" s="13">
        <v>-9.4891312487519003E-2</v>
      </c>
    </row>
    <row r="14" spans="1:14" x14ac:dyDescent="0.2">
      <c r="A14" s="2" t="s">
        <v>61</v>
      </c>
      <c r="B14" s="2" t="s">
        <v>42</v>
      </c>
      <c r="C14" s="2" t="s">
        <v>46</v>
      </c>
      <c r="D14" s="2">
        <v>-0.429859619932701</v>
      </c>
      <c r="E14" s="13">
        <v>-5.5983775203711703E-4</v>
      </c>
      <c r="F14" s="13">
        <v>-0.20987723687627399</v>
      </c>
      <c r="G14" s="13">
        <v>-0.21552926318153101</v>
      </c>
      <c r="H14" s="13">
        <v>-9.2896308967883298E-2</v>
      </c>
      <c r="I14" s="13">
        <v>-0.15015014998614801</v>
      </c>
      <c r="J14" s="13">
        <v>-0.26823219254612901</v>
      </c>
      <c r="K14" s="13">
        <v>-0.226699893177079</v>
      </c>
      <c r="L14" s="13">
        <v>-0.10521853731415499</v>
      </c>
      <c r="M14" s="13">
        <v>-0.15421278607470701</v>
      </c>
      <c r="N14" s="13">
        <v>-0.24746604286160401</v>
      </c>
    </row>
    <row r="15" spans="1:14" x14ac:dyDescent="0.2">
      <c r="A15" s="2" t="s">
        <v>62</v>
      </c>
      <c r="B15" s="2" t="s">
        <v>42</v>
      </c>
      <c r="C15" s="2" t="s">
        <v>46</v>
      </c>
      <c r="D15" s="2">
        <v>-0.30031447097580699</v>
      </c>
      <c r="E15" s="13">
        <v>-0.22155072269808601</v>
      </c>
      <c r="F15" s="13">
        <v>-0.17380315859496501</v>
      </c>
      <c r="G15" s="13">
        <v>-0.12471425393090101</v>
      </c>
      <c r="H15" s="13">
        <v>-0.18541865770090801</v>
      </c>
      <c r="I15" s="13">
        <v>-8.0975129827856998E-2</v>
      </c>
      <c r="J15" s="13">
        <v>-0.16225808622458801</v>
      </c>
      <c r="K15" s="13">
        <v>-0.145359256728605</v>
      </c>
      <c r="L15" s="13">
        <v>-0.197676940646525</v>
      </c>
      <c r="M15" s="13">
        <v>-0.155066455815905</v>
      </c>
      <c r="N15" s="13">
        <v>-0.15380867147659599</v>
      </c>
    </row>
    <row r="16" spans="1:14" x14ac:dyDescent="0.2">
      <c r="A16" s="2" t="s">
        <v>63</v>
      </c>
      <c r="B16" s="2" t="s">
        <v>42</v>
      </c>
      <c r="C16" s="2" t="s">
        <v>46</v>
      </c>
      <c r="D16" s="2">
        <v>-0.45993191246739101</v>
      </c>
      <c r="E16" s="13">
        <v>-0.26264543832875198</v>
      </c>
      <c r="F16" s="13">
        <v>-0.232137500084695</v>
      </c>
      <c r="G16" s="13">
        <v>-0.232569156376564</v>
      </c>
      <c r="H16" s="13">
        <v>-0.11647889489664701</v>
      </c>
      <c r="I16" s="13">
        <v>-0.21013452787883599</v>
      </c>
      <c r="J16" s="13">
        <v>-0.17256406157349199</v>
      </c>
      <c r="K16" s="13">
        <v>-0.2293828613062</v>
      </c>
      <c r="L16" s="13">
        <v>-0.247391469206723</v>
      </c>
      <c r="M16" s="13">
        <v>-0.17452402563660499</v>
      </c>
      <c r="N16" s="13">
        <v>-0.20097346143984601</v>
      </c>
    </row>
    <row r="17" spans="1:14" x14ac:dyDescent="0.2">
      <c r="A17" s="2" t="s">
        <v>64</v>
      </c>
      <c r="B17" s="2" t="s">
        <v>42</v>
      </c>
      <c r="C17" s="2" t="s">
        <v>46</v>
      </c>
      <c r="D17" s="2">
        <v>-4.4904829630158703E-2</v>
      </c>
      <c r="E17" s="13">
        <v>-7.0266524485002001E-3</v>
      </c>
      <c r="F17" s="13">
        <v>9.2178600320181308E-3</v>
      </c>
      <c r="G17" s="13">
        <v>-2.3983726735847699E-2</v>
      </c>
      <c r="H17" s="13">
        <v>-7.7239413116563203E-3</v>
      </c>
      <c r="I17" s="13">
        <v>-2.8818067517131601E-2</v>
      </c>
      <c r="J17" s="13">
        <v>-2.0498243130882301E-2</v>
      </c>
      <c r="K17" s="13">
        <v>-7.9142347359183199E-2</v>
      </c>
      <c r="L17" s="13">
        <v>1.0956037917589699E-3</v>
      </c>
      <c r="M17" s="13">
        <v>-1.5853834023752001E-2</v>
      </c>
      <c r="N17" s="13">
        <v>-4.9820295245032703E-2</v>
      </c>
    </row>
    <row r="18" spans="1:14" x14ac:dyDescent="0.2">
      <c r="A18" s="2" t="s">
        <v>65</v>
      </c>
      <c r="B18" s="2" t="s">
        <v>42</v>
      </c>
      <c r="C18" s="2" t="s">
        <v>46</v>
      </c>
      <c r="D18" s="2">
        <v>5.9473421037409498E-2</v>
      </c>
      <c r="E18" s="13">
        <v>-5.6041392370631597E-2</v>
      </c>
      <c r="F18" s="13">
        <v>2.8487427818570801E-2</v>
      </c>
      <c r="G18" s="13">
        <v>5.0122979836052503E-2</v>
      </c>
      <c r="H18" s="13">
        <v>-8.1932762380134607E-3</v>
      </c>
      <c r="I18" s="13">
        <v>-5.4490174632519497E-2</v>
      </c>
      <c r="J18" s="13">
        <v>1.9347499380362999E-2</v>
      </c>
      <c r="K18" s="13">
        <v>-1.3269621959633699E-2</v>
      </c>
      <c r="L18" s="13">
        <v>-1.37769822760304E-2</v>
      </c>
      <c r="M18" s="13">
        <v>2.0964851799019499E-2</v>
      </c>
      <c r="N18" s="13">
        <v>3.0389387103646401E-3</v>
      </c>
    </row>
    <row r="19" spans="1:14" x14ac:dyDescent="0.2">
      <c r="A19" s="2" t="s">
        <v>66</v>
      </c>
      <c r="B19" s="2" t="s">
        <v>42</v>
      </c>
      <c r="C19" s="2" t="s">
        <v>46</v>
      </c>
      <c r="D19" s="2">
        <v>8.2874434099951697E-2</v>
      </c>
      <c r="E19" s="13">
        <v>-4.1781713331087697E-2</v>
      </c>
      <c r="F19" s="13">
        <v>4.0372668583302899E-2</v>
      </c>
      <c r="G19" s="13">
        <v>6.4000212303970197E-2</v>
      </c>
      <c r="H19" s="13">
        <v>-3.9911793366550104E-3</v>
      </c>
      <c r="I19" s="13">
        <v>-3.9621779265311997E-3</v>
      </c>
      <c r="J19" s="13">
        <v>4.07350007981922E-2</v>
      </c>
      <c r="K19" s="13">
        <v>1.8737790275582901E-2</v>
      </c>
      <c r="L19" s="13">
        <v>-7.0452237389241298E-4</v>
      </c>
      <c r="M19" s="13">
        <v>3.0004516483657599E-2</v>
      </c>
      <c r="N19" s="13">
        <v>2.9736395536887499E-2</v>
      </c>
    </row>
    <row r="20" spans="1:14" x14ac:dyDescent="0.2">
      <c r="A20" s="2" t="s">
        <v>67</v>
      </c>
      <c r="B20" s="2" t="s">
        <v>42</v>
      </c>
      <c r="C20" s="2" t="s">
        <v>46</v>
      </c>
      <c r="D20" s="2">
        <v>-0.14632173170631699</v>
      </c>
      <c r="E20" s="13">
        <v>-5.4308410398051399E-2</v>
      </c>
      <c r="F20" s="13">
        <v>-7.47270122890107E-2</v>
      </c>
      <c r="G20" s="13">
        <v>-8.0181277615180194E-2</v>
      </c>
      <c r="H20" s="13">
        <v>-2.1016748101906301E-2</v>
      </c>
      <c r="I20" s="13">
        <v>-9.8151396363973603E-2</v>
      </c>
      <c r="J20" s="13">
        <v>-6.4062949095386998E-2</v>
      </c>
      <c r="K20" s="13">
        <v>-8.5279139093636103E-2</v>
      </c>
      <c r="L20" s="13">
        <v>-6.4517711343531001E-2</v>
      </c>
      <c r="M20" s="13">
        <v>-5.0599012858543201E-2</v>
      </c>
      <c r="N20" s="13">
        <v>-7.4671044094511599E-2</v>
      </c>
    </row>
    <row r="21" spans="1:14" x14ac:dyDescent="0.2">
      <c r="A21" s="2" t="s">
        <v>68</v>
      </c>
      <c r="B21" s="2" t="s">
        <v>42</v>
      </c>
      <c r="C21" s="2" t="s">
        <v>46</v>
      </c>
      <c r="D21" s="2">
        <v>5.19968041419848E-2</v>
      </c>
      <c r="E21" s="13">
        <v>-3.3454417375576702E-2</v>
      </c>
      <c r="F21" s="13">
        <v>1.5540130054668901E-2</v>
      </c>
      <c r="G21" s="13">
        <v>2.5165221937324699E-2</v>
      </c>
      <c r="H21" s="13">
        <v>-5.3105222893522097E-2</v>
      </c>
      <c r="I21" s="13">
        <v>-3.6449144898842198E-2</v>
      </c>
      <c r="J21" s="13">
        <v>1.6664666947550501E-2</v>
      </c>
      <c r="K21" s="13">
        <v>-1.2227961723888899E-2</v>
      </c>
      <c r="L21" s="13">
        <v>-8.9571436604539006E-3</v>
      </c>
      <c r="M21" s="13">
        <v>-1.3970000478098699E-2</v>
      </c>
      <c r="N21" s="13">
        <v>2.2183526118307898E-3</v>
      </c>
    </row>
    <row r="22" spans="1:14" x14ac:dyDescent="0.2">
      <c r="A22" s="2" t="s">
        <v>69</v>
      </c>
      <c r="B22" s="2" t="s">
        <v>42</v>
      </c>
      <c r="C22" s="2" t="s">
        <v>46</v>
      </c>
      <c r="D22" s="2">
        <v>-0.25325000441059498</v>
      </c>
      <c r="E22" s="13">
        <v>-0.144774093914808</v>
      </c>
      <c r="F22" s="13">
        <v>-0.18421029067271699</v>
      </c>
      <c r="G22" s="13">
        <v>-0.13623062205379399</v>
      </c>
      <c r="H22" s="13">
        <v>1.8825837391171E-2</v>
      </c>
      <c r="I22" s="13">
        <v>-0.218807153655216</v>
      </c>
      <c r="J22" s="13">
        <v>-2.50287724685712E-2</v>
      </c>
      <c r="K22" s="13">
        <v>-6.8803805376539101E-2</v>
      </c>
      <c r="L22" s="13">
        <v>-0.164492192293762</v>
      </c>
      <c r="M22" s="13">
        <v>-5.8702392331311602E-2</v>
      </c>
      <c r="N22" s="13">
        <v>-4.6916288922555102E-2</v>
      </c>
    </row>
    <row r="23" spans="1:14" x14ac:dyDescent="0.2">
      <c r="A23" s="2" t="s">
        <v>70</v>
      </c>
      <c r="B23" s="2" t="s">
        <v>42</v>
      </c>
      <c r="C23" s="2" t="s">
        <v>46</v>
      </c>
      <c r="D23" s="2">
        <v>-4.5621770999999998E-2</v>
      </c>
      <c r="E23" s="13">
        <v>1.1600193399630599E-2</v>
      </c>
      <c r="F23" s="13">
        <v>-2.2338011489527999E-2</v>
      </c>
      <c r="G23" s="13">
        <v>-2.4063731720873501E-2</v>
      </c>
      <c r="H23" s="13">
        <v>-6.1316875384208998E-2</v>
      </c>
      <c r="I23" s="13">
        <v>3.8100189603865103E-2</v>
      </c>
      <c r="J23" s="13">
        <v>-0.13976634146484501</v>
      </c>
      <c r="K23" s="13">
        <v>-0.12228469378995099</v>
      </c>
      <c r="L23" s="13">
        <v>-5.3689090449486696E-3</v>
      </c>
      <c r="M23" s="13">
        <v>-4.2690303552541303E-2</v>
      </c>
      <c r="N23" s="13">
        <v>-0.131025517627398</v>
      </c>
    </row>
    <row r="24" spans="1:14" x14ac:dyDescent="0.2">
      <c r="A24" s="2" t="s">
        <v>71</v>
      </c>
      <c r="B24" s="2" t="s">
        <v>42</v>
      </c>
      <c r="C24" s="2" t="s">
        <v>43</v>
      </c>
      <c r="D24" s="2">
        <v>-0.54210113417058703</v>
      </c>
      <c r="E24" s="13">
        <v>-0.33877947108178802</v>
      </c>
      <c r="F24" s="13">
        <v>-0.40598810384316097</v>
      </c>
      <c r="G24" s="13">
        <v>-0.362318803515771</v>
      </c>
      <c r="H24" s="13">
        <v>-0.238293652244388</v>
      </c>
      <c r="I24" s="13">
        <v>-8.4136185832321603E-2</v>
      </c>
      <c r="J24" s="13">
        <v>-0.323684817161776</v>
      </c>
      <c r="K24" s="13">
        <v>-0.30190014807648702</v>
      </c>
      <c r="L24" s="13">
        <v>-0.37238378746247502</v>
      </c>
      <c r="M24" s="13">
        <v>-0.30030622788007899</v>
      </c>
      <c r="N24" s="13">
        <v>-0.31279248261913101</v>
      </c>
    </row>
    <row r="25" spans="1:14" x14ac:dyDescent="0.2">
      <c r="A25" s="2" t="s">
        <v>72</v>
      </c>
      <c r="B25" s="2" t="s">
        <v>42</v>
      </c>
      <c r="C25" s="2" t="s">
        <v>43</v>
      </c>
      <c r="D25" s="2">
        <v>-5.0003037242839901E-2</v>
      </c>
      <c r="E25" s="13">
        <v>-5.6684980161304799E-2</v>
      </c>
      <c r="F25" s="13">
        <v>-1.00019711384235E-2</v>
      </c>
      <c r="G25" s="13">
        <v>-2.4967735785100101E-2</v>
      </c>
      <c r="H25" s="13">
        <v>-9.3840107777492798E-2</v>
      </c>
      <c r="I25" s="13">
        <v>-2.3120589330792401E-2</v>
      </c>
      <c r="J25" s="13">
        <v>-5.4572242841708897E-2</v>
      </c>
      <c r="K25" s="13">
        <v>-4.5946430429303499E-2</v>
      </c>
      <c r="L25" s="13">
        <v>-3.3343475649864202E-2</v>
      </c>
      <c r="M25" s="13">
        <v>-5.9403921781296498E-2</v>
      </c>
      <c r="N25" s="13">
        <v>-5.0259336635506198E-2</v>
      </c>
    </row>
    <row r="26" spans="1:14" x14ac:dyDescent="0.2">
      <c r="A26" s="2" t="s">
        <v>73</v>
      </c>
      <c r="B26" s="2" t="s">
        <v>42</v>
      </c>
      <c r="C26" s="2" t="s">
        <v>43</v>
      </c>
      <c r="D26" s="2">
        <v>-0.34704742190009602</v>
      </c>
      <c r="E26" s="13">
        <v>-0.30530063801857299</v>
      </c>
      <c r="F26" s="13">
        <v>-0.12460476052403099</v>
      </c>
      <c r="G26" s="13">
        <v>-0.199687077825808</v>
      </c>
      <c r="H26" s="13">
        <v>-8.2372814337623904E-2</v>
      </c>
      <c r="I26" s="13">
        <v>-5.5375789489167201E-2</v>
      </c>
      <c r="J26" s="13">
        <v>-0.11138704763288799</v>
      </c>
      <c r="K26" s="13">
        <v>-0.104574820285456</v>
      </c>
      <c r="L26" s="13">
        <v>-0.21495269927130201</v>
      </c>
      <c r="M26" s="13">
        <v>-0.14102994608171601</v>
      </c>
      <c r="N26" s="13">
        <v>-0.10798093395917201</v>
      </c>
    </row>
    <row r="27" spans="1:14" x14ac:dyDescent="0.2">
      <c r="A27" s="2" t="s">
        <v>74</v>
      </c>
      <c r="B27" s="2" t="s">
        <v>42</v>
      </c>
      <c r="C27" s="2" t="s">
        <v>43</v>
      </c>
      <c r="D27" s="2">
        <v>-0.12858320051904801</v>
      </c>
      <c r="E27" s="13">
        <v>-8.05691699177737E-2</v>
      </c>
      <c r="F27" s="13">
        <v>-5.2126331339505602E-2</v>
      </c>
      <c r="G27" s="13">
        <v>-2.8756259864641601E-2</v>
      </c>
      <c r="H27" s="13">
        <v>-0.156597020708896</v>
      </c>
      <c r="I27" s="13">
        <v>-1.8942655771612499E-2</v>
      </c>
      <c r="J27" s="13">
        <v>-5.4896519085069997E-2</v>
      </c>
      <c r="K27" s="13">
        <v>-8.3656166237523102E-2</v>
      </c>
      <c r="L27" s="13">
        <v>-6.6347750628639596E-2</v>
      </c>
      <c r="M27" s="13">
        <v>-9.2676640286769002E-2</v>
      </c>
      <c r="N27" s="13">
        <v>-6.9276342661296494E-2</v>
      </c>
    </row>
    <row r="28" spans="1:14" x14ac:dyDescent="0.2">
      <c r="A28" s="2" t="s">
        <v>75</v>
      </c>
      <c r="B28" s="2" t="s">
        <v>42</v>
      </c>
      <c r="C28" s="2" t="s">
        <v>43</v>
      </c>
      <c r="D28" s="2">
        <v>-0.32345716588062701</v>
      </c>
      <c r="E28" s="13">
        <v>-0.21912288036747099</v>
      </c>
      <c r="F28" s="13">
        <v>-8.0267644952982706E-2</v>
      </c>
      <c r="G28" s="13">
        <v>-0.14866769554741399</v>
      </c>
      <c r="H28" s="13">
        <v>-0.21254356774164601</v>
      </c>
      <c r="I28" s="13">
        <v>-0.120788772590458</v>
      </c>
      <c r="J28" s="13">
        <v>-0.17840946841841701</v>
      </c>
      <c r="K28" s="13">
        <v>-0.17107796004287701</v>
      </c>
      <c r="L28" s="13">
        <v>-0.14969526266022701</v>
      </c>
      <c r="M28" s="13">
        <v>-0.18060563164453</v>
      </c>
      <c r="N28" s="13">
        <v>-0.174743714230647</v>
      </c>
    </row>
    <row r="29" spans="1:14" x14ac:dyDescent="0.2">
      <c r="A29" s="2" t="s">
        <v>76</v>
      </c>
      <c r="B29" s="2" t="s">
        <v>42</v>
      </c>
      <c r="C29" s="2" t="s">
        <v>43</v>
      </c>
      <c r="D29" s="2">
        <v>0.19192836966534599</v>
      </c>
      <c r="E29" s="13">
        <v>3.0271345726596E-2</v>
      </c>
      <c r="F29" s="13">
        <v>0.102093176840647</v>
      </c>
      <c r="G29" s="13">
        <v>0.14220716379097001</v>
      </c>
      <c r="H29" s="13">
        <v>-3.19339856901701E-2</v>
      </c>
      <c r="I29" s="13">
        <v>-2.9596989687818698E-2</v>
      </c>
      <c r="J29" s="13">
        <v>0.161145294980647</v>
      </c>
      <c r="K29" s="13">
        <v>6.9560270241668706E-2</v>
      </c>
      <c r="L29" s="13">
        <v>6.6182261283621702E-2</v>
      </c>
      <c r="M29" s="13">
        <v>5.5136589050399802E-2</v>
      </c>
      <c r="N29" s="13">
        <v>0.115352782611158</v>
      </c>
    </row>
    <row r="30" spans="1:14" x14ac:dyDescent="0.2">
      <c r="A30" s="2" t="s">
        <v>77</v>
      </c>
      <c r="B30" s="2" t="s">
        <v>42</v>
      </c>
      <c r="C30" s="2" t="s">
        <v>43</v>
      </c>
      <c r="D30" s="2">
        <v>-0.64385037212233098</v>
      </c>
      <c r="E30" s="13">
        <v>-0.38623936908940498</v>
      </c>
      <c r="F30" s="13">
        <v>-0.39630667081513998</v>
      </c>
      <c r="G30" s="13">
        <v>-0.41675453600676199</v>
      </c>
      <c r="H30" s="13">
        <v>-0.30618479467452803</v>
      </c>
      <c r="I30" s="13">
        <v>-0.10535081096280099</v>
      </c>
      <c r="J30" s="13">
        <v>-0.36673532379791102</v>
      </c>
      <c r="K30" s="13">
        <v>-0.404457330944414</v>
      </c>
      <c r="L30" s="13">
        <v>-0.39127301995227198</v>
      </c>
      <c r="M30" s="13">
        <v>-0.36146966534064501</v>
      </c>
      <c r="N30" s="13">
        <v>-0.38559632737116301</v>
      </c>
    </row>
    <row r="31" spans="1:14" x14ac:dyDescent="0.2">
      <c r="A31" s="2" t="s">
        <v>78</v>
      </c>
      <c r="B31" s="2" t="s">
        <v>42</v>
      </c>
      <c r="C31" s="2" t="s">
        <v>43</v>
      </c>
      <c r="D31" s="2">
        <v>-5.0382674956352798E-2</v>
      </c>
      <c r="E31" s="13">
        <v>-0.17632028283398701</v>
      </c>
      <c r="F31" s="13">
        <v>0.120006708750399</v>
      </c>
      <c r="G31" s="13">
        <v>0.104625156407969</v>
      </c>
      <c r="H31" s="13">
        <v>1.5529407961095899E-2</v>
      </c>
      <c r="I31" s="13">
        <v>-9.1616719107454003E-2</v>
      </c>
      <c r="J31" s="13">
        <v>5.0840862020850197E-2</v>
      </c>
      <c r="K31" s="13">
        <v>-1.4825921369653701E-3</v>
      </c>
      <c r="L31" s="13">
        <v>-2.81567870417937E-2</v>
      </c>
      <c r="M31" s="13">
        <v>6.0077282184532399E-2</v>
      </c>
      <c r="N31" s="13">
        <v>2.4679134941942401E-2</v>
      </c>
    </row>
    <row r="32" spans="1:14" x14ac:dyDescent="0.2">
      <c r="A32" s="2" t="s">
        <v>79</v>
      </c>
      <c r="B32" s="2" t="s">
        <v>42</v>
      </c>
      <c r="C32" s="2" t="s">
        <v>43</v>
      </c>
      <c r="D32" s="2">
        <v>-0.459943281342784</v>
      </c>
      <c r="E32" s="13">
        <v>-0.24298842027630699</v>
      </c>
      <c r="F32" s="13">
        <v>-0.227427976750224</v>
      </c>
      <c r="G32" s="13">
        <v>-0.26935159876618697</v>
      </c>
      <c r="H32" s="13">
        <v>-4.4988634144055101E-2</v>
      </c>
      <c r="I32" s="13">
        <v>1.288362330972E-2</v>
      </c>
      <c r="J32" s="13">
        <v>-0.20620984375441001</v>
      </c>
      <c r="K32" s="13">
        <v>-0.13797732578989599</v>
      </c>
      <c r="L32" s="13">
        <v>-0.23520819851326599</v>
      </c>
      <c r="M32" s="13">
        <v>-0.157170116455121</v>
      </c>
      <c r="N32" s="13">
        <v>-0.172093584772153</v>
      </c>
    </row>
    <row r="33" spans="1:14" x14ac:dyDescent="0.2">
      <c r="A33" s="2" t="s">
        <v>80</v>
      </c>
      <c r="B33" s="2" t="s">
        <v>42</v>
      </c>
      <c r="C33" s="2" t="s">
        <v>43</v>
      </c>
      <c r="D33" s="2">
        <v>-7.0056675975347496E-2</v>
      </c>
      <c r="E33" s="13">
        <v>3.6122672656764701E-3</v>
      </c>
      <c r="F33" s="13">
        <v>1.7779806338540899E-2</v>
      </c>
      <c r="G33" s="13">
        <v>7.49503956783725E-2</v>
      </c>
      <c r="H33" s="13">
        <v>-6.4255743062103798E-2</v>
      </c>
      <c r="I33" s="13">
        <v>-8.4709593327716007E-2</v>
      </c>
      <c r="J33" s="13">
        <v>9.3819224812950099E-3</v>
      </c>
      <c r="K33" s="13">
        <v>-5.05658277069925E-2</v>
      </c>
      <c r="L33" s="13">
        <v>1.06960368021087E-2</v>
      </c>
      <c r="M33" s="13">
        <v>5.3473263081343196E-3</v>
      </c>
      <c r="N33" s="13">
        <v>-2.0591952612848699E-2</v>
      </c>
    </row>
    <row r="34" spans="1:14" x14ac:dyDescent="0.2">
      <c r="A34" s="2" t="s">
        <v>81</v>
      </c>
      <c r="B34" s="2" t="s">
        <v>42</v>
      </c>
      <c r="C34" s="2" t="s">
        <v>43</v>
      </c>
      <c r="D34" s="2">
        <v>-4.2980123986492202E-2</v>
      </c>
      <c r="E34" s="13">
        <v>-1.8658839858930999E-2</v>
      </c>
      <c r="F34" s="13">
        <v>-3.4194322003583799E-2</v>
      </c>
      <c r="G34" s="13">
        <v>-5.1884753255011601E-2</v>
      </c>
      <c r="H34" s="13">
        <v>-6.3468952103458501E-2</v>
      </c>
      <c r="I34" s="13">
        <v>-2.6143825251403099E-2</v>
      </c>
      <c r="J34" s="13">
        <v>-1.39907267719256E-2</v>
      </c>
      <c r="K34" s="13">
        <v>-2.6932332607814E-2</v>
      </c>
      <c r="L34" s="13">
        <v>-2.6426580931257399E-2</v>
      </c>
      <c r="M34" s="13">
        <v>-5.7676852679235002E-2</v>
      </c>
      <c r="N34" s="13">
        <v>-2.0461529689869799E-2</v>
      </c>
    </row>
    <row r="35" spans="1:14" x14ac:dyDescent="0.2">
      <c r="A35" s="2" t="s">
        <v>82</v>
      </c>
      <c r="B35" s="2" t="s">
        <v>42</v>
      </c>
      <c r="C35" s="2" t="s">
        <v>43</v>
      </c>
      <c r="D35" s="2">
        <v>0.22900377835484401</v>
      </c>
      <c r="E35" s="13">
        <v>-2.7216460253779998E-2</v>
      </c>
      <c r="F35" s="13">
        <v>0.10989603536905</v>
      </c>
      <c r="G35" s="13">
        <v>0.110369206408707</v>
      </c>
      <c r="H35" s="13">
        <v>5.9678020366923303E-2</v>
      </c>
      <c r="I35" s="13">
        <v>-0.115083386118595</v>
      </c>
      <c r="J35" s="13">
        <v>0.14174584915431601</v>
      </c>
      <c r="K35" s="13">
        <v>8.8291185487133397E-2</v>
      </c>
      <c r="L35" s="13">
        <v>4.1339787557635101E-2</v>
      </c>
      <c r="M35" s="13">
        <v>8.5023613387815097E-2</v>
      </c>
      <c r="N35" s="13">
        <v>0.115018517320725</v>
      </c>
    </row>
    <row r="36" spans="1:14" x14ac:dyDescent="0.2">
      <c r="A36" s="2" t="s">
        <v>83</v>
      </c>
      <c r="B36" s="2" t="s">
        <v>42</v>
      </c>
      <c r="C36" s="2" t="s">
        <v>43</v>
      </c>
      <c r="D36" s="2">
        <v>-0.19677078409014101</v>
      </c>
      <c r="E36" s="13">
        <v>-0.32399432145089602</v>
      </c>
      <c r="F36" s="13">
        <v>5.0997518311411902E-2</v>
      </c>
      <c r="G36" s="13">
        <v>-0.157522903870457</v>
      </c>
      <c r="H36" s="13">
        <v>3.2032777119348703E-2</v>
      </c>
      <c r="I36" s="13">
        <v>-0.32185889680225099</v>
      </c>
      <c r="J36" s="13">
        <v>4.1550940019078601E-2</v>
      </c>
      <c r="K36" s="13">
        <v>-7.7535544338429102E-2</v>
      </c>
      <c r="L36" s="13">
        <v>-0.136498401569742</v>
      </c>
      <c r="M36" s="13">
        <v>-6.2745063375554203E-2</v>
      </c>
      <c r="N36" s="13">
        <v>-1.7992302159675299E-2</v>
      </c>
    </row>
    <row r="37" spans="1:14" x14ac:dyDescent="0.2">
      <c r="A37" s="2" t="s">
        <v>84</v>
      </c>
      <c r="B37" s="2" t="s">
        <v>42</v>
      </c>
      <c r="C37" s="2" t="s">
        <v>43</v>
      </c>
      <c r="D37" s="2">
        <v>-0.224629658399257</v>
      </c>
      <c r="E37" s="13">
        <v>-0.25794754418559701</v>
      </c>
      <c r="F37" s="13">
        <v>-0.198870254003189</v>
      </c>
      <c r="G37" s="13">
        <v>-0.204091429345958</v>
      </c>
      <c r="H37" s="13">
        <v>-0.19060747110423601</v>
      </c>
      <c r="I37" s="13">
        <v>-0.17477058590604699</v>
      </c>
      <c r="J37" s="13">
        <v>-0.108704847856783</v>
      </c>
      <c r="K37" s="13">
        <v>-0.108980630958265</v>
      </c>
      <c r="L37" s="13">
        <v>-0.22840889909439299</v>
      </c>
      <c r="M37" s="13">
        <v>-0.19734945022509701</v>
      </c>
      <c r="N37" s="13">
        <v>-0.10884273940752399</v>
      </c>
    </row>
    <row r="38" spans="1:14" x14ac:dyDescent="0.2">
      <c r="A38" s="2" t="s">
        <v>85</v>
      </c>
      <c r="B38" s="2" t="s">
        <v>42</v>
      </c>
      <c r="C38" s="2" t="s">
        <v>43</v>
      </c>
      <c r="D38" s="2">
        <v>0.151968804949034</v>
      </c>
      <c r="E38" s="13">
        <v>5.9826404453621702E-2</v>
      </c>
      <c r="F38" s="13">
        <v>0.133813984311101</v>
      </c>
      <c r="G38" s="13">
        <v>2.4567932523179601E-2</v>
      </c>
      <c r="H38" s="13">
        <v>6.8329813682097701E-2</v>
      </c>
      <c r="I38" s="13">
        <v>-6.0758433376367299E-2</v>
      </c>
      <c r="J38" s="13">
        <v>4.7837474490874102E-4</v>
      </c>
      <c r="K38" s="13">
        <v>-4.2902267571692999E-2</v>
      </c>
      <c r="L38" s="13">
        <v>9.6820194382361405E-2</v>
      </c>
      <c r="M38" s="13">
        <v>4.6448873102638698E-2</v>
      </c>
      <c r="N38" s="13">
        <v>-2.1211946413392101E-2</v>
      </c>
    </row>
    <row r="39" spans="1:14" x14ac:dyDescent="0.2">
      <c r="A39" s="2" t="s">
        <v>86</v>
      </c>
      <c r="B39" s="2" t="s">
        <v>42</v>
      </c>
      <c r="C39" s="2" t="s">
        <v>43</v>
      </c>
      <c r="D39" s="2">
        <v>-0.57462263362616905</v>
      </c>
      <c r="E39" s="13">
        <v>-0.30262154145318998</v>
      </c>
      <c r="F39" s="13">
        <v>-0.259677572874352</v>
      </c>
      <c r="G39" s="13">
        <v>-0.36089805837558703</v>
      </c>
      <c r="H39" s="13">
        <v>-0.13727952937219101</v>
      </c>
      <c r="I39" s="13">
        <v>-0.21859425657357201</v>
      </c>
      <c r="J39" s="13">
        <v>-0.25038359882127398</v>
      </c>
      <c r="K39" s="13">
        <v>-0.219970380259531</v>
      </c>
      <c r="L39" s="13">
        <v>-0.28114955716377099</v>
      </c>
      <c r="M39" s="13">
        <v>-0.24908879387388899</v>
      </c>
      <c r="N39" s="13">
        <v>-0.235176989540403</v>
      </c>
    </row>
    <row r="40" spans="1:14" x14ac:dyDescent="0.2">
      <c r="A40" s="2" t="s">
        <v>87</v>
      </c>
      <c r="B40" s="2" t="s">
        <v>42</v>
      </c>
      <c r="C40" s="2" t="s">
        <v>43</v>
      </c>
      <c r="D40" s="2">
        <v>-0.44933232094345199</v>
      </c>
      <c r="E40" s="13">
        <v>-0.28482121726894999</v>
      </c>
      <c r="F40" s="13">
        <v>-0.23658503387456001</v>
      </c>
      <c r="G40" s="13">
        <v>-0.29142673977691202</v>
      </c>
      <c r="H40" s="13">
        <v>-0.17947484045586701</v>
      </c>
      <c r="I40" s="13">
        <v>-0.15587334807675601</v>
      </c>
      <c r="J40" s="13">
        <v>-0.242442241547486</v>
      </c>
      <c r="K40" s="13">
        <v>-0.20316409376146399</v>
      </c>
      <c r="L40" s="13">
        <v>-0.26070312557175501</v>
      </c>
      <c r="M40" s="13">
        <v>-0.235450790116389</v>
      </c>
      <c r="N40" s="13">
        <v>-0.222803167654475</v>
      </c>
    </row>
  </sheetData>
  <autoFilter ref="A1:N40" xr:uid="{ADA1B54C-5B26-E14E-B77D-D3A34827E671}">
    <sortState xmlns:xlrd2="http://schemas.microsoft.com/office/spreadsheetml/2017/richdata2" ref="A2:N40">
      <sortCondition ref="C1:C40"/>
    </sortState>
  </autoFilter>
  <conditionalFormatting sqref="A12:A25 D12:D25">
    <cfRule type="duplicateValues" dxfId="3" priority="2"/>
  </conditionalFormatting>
  <conditionalFormatting sqref="A38 D38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FECB-81D7-F043-9314-A49259C376A9}">
  <dimension ref="A1:I40"/>
  <sheetViews>
    <sheetView workbookViewId="0">
      <selection activeCell="N9" sqref="N9"/>
    </sheetView>
  </sheetViews>
  <sheetFormatPr baseColWidth="10" defaultRowHeight="16" x14ac:dyDescent="0.2"/>
  <cols>
    <col min="1" max="1" width="20" style="2" customWidth="1"/>
    <col min="2" max="4" width="10.83203125" style="2"/>
    <col min="5" max="5" width="13.1640625" style="16" customWidth="1"/>
    <col min="6" max="6" width="15.6640625" style="16" customWidth="1"/>
    <col min="7" max="7" width="16.33203125" style="2" customWidth="1"/>
    <col min="8" max="8" width="17.83203125" style="2" customWidth="1"/>
    <col min="9" max="9" width="16.33203125" style="2" customWidth="1"/>
  </cols>
  <sheetData>
    <row r="1" spans="1:9" x14ac:dyDescent="0.2">
      <c r="A1" s="1" t="s">
        <v>0</v>
      </c>
      <c r="B1" s="1" t="s">
        <v>47</v>
      </c>
      <c r="C1" s="1" t="s">
        <v>2</v>
      </c>
      <c r="D1" s="1" t="s">
        <v>9</v>
      </c>
      <c r="E1" s="14" t="s">
        <v>41</v>
      </c>
      <c r="F1" s="14" t="s">
        <v>89</v>
      </c>
      <c r="G1" s="1" t="s">
        <v>88</v>
      </c>
      <c r="H1" s="1" t="s">
        <v>136</v>
      </c>
      <c r="I1" s="14" t="s">
        <v>135</v>
      </c>
    </row>
    <row r="2" spans="1:9" x14ac:dyDescent="0.2">
      <c r="A2" s="2" t="s">
        <v>49</v>
      </c>
      <c r="B2" s="13" t="s">
        <v>45</v>
      </c>
      <c r="C2" s="13" t="s">
        <v>45</v>
      </c>
      <c r="D2" s="4">
        <v>1381556.183</v>
      </c>
      <c r="E2" s="15">
        <v>499357.07939999999</v>
      </c>
      <c r="F2" s="15">
        <v>532254.96178772603</v>
      </c>
      <c r="G2" s="2">
        <v>509.28527027061386</v>
      </c>
      <c r="H2" s="2">
        <v>1838.08959913898</v>
      </c>
      <c r="I2" s="15">
        <v>21919.201094135798</v>
      </c>
    </row>
    <row r="3" spans="1:9" x14ac:dyDescent="0.2">
      <c r="A3" s="2" t="s">
        <v>50</v>
      </c>
      <c r="B3" s="13" t="s">
        <v>45</v>
      </c>
      <c r="C3" s="13" t="s">
        <v>45</v>
      </c>
      <c r="D3" s="4">
        <v>1388398.2779999999</v>
      </c>
      <c r="E3" s="15">
        <v>553519.7929</v>
      </c>
      <c r="F3" s="15">
        <v>584849.27110966202</v>
      </c>
      <c r="G3" s="2">
        <v>576.53539718555282</v>
      </c>
      <c r="H3" s="2">
        <v>1929.5754014501199</v>
      </c>
      <c r="I3" s="15">
        <v>20467.385745782802</v>
      </c>
    </row>
    <row r="4" spans="1:9" x14ac:dyDescent="0.2">
      <c r="A4" s="2" t="s">
        <v>51</v>
      </c>
      <c r="B4" s="13" t="s">
        <v>45</v>
      </c>
      <c r="C4" s="13" t="s">
        <v>45</v>
      </c>
      <c r="D4" s="4">
        <v>1373277.3589999999</v>
      </c>
      <c r="E4" s="15">
        <v>536074.30559999996</v>
      </c>
      <c r="F4" s="15">
        <v>570869.931610264</v>
      </c>
      <c r="G4" s="2">
        <v>591.47311466324118</v>
      </c>
      <c r="H4" s="2">
        <v>2067.1565608738902</v>
      </c>
      <c r="I4" s="15">
        <v>19951.559334077399</v>
      </c>
    </row>
    <row r="5" spans="1:9" x14ac:dyDescent="0.2">
      <c r="A5" s="2" t="s">
        <v>52</v>
      </c>
      <c r="B5" s="13" t="s">
        <v>45</v>
      </c>
      <c r="C5" s="13" t="s">
        <v>45</v>
      </c>
      <c r="D5" s="4">
        <v>1264955.1640000001</v>
      </c>
      <c r="E5" s="15">
        <v>500051.6642</v>
      </c>
      <c r="F5" s="15">
        <v>559677.84038751398</v>
      </c>
      <c r="G5" s="2">
        <v>456.56794852881268</v>
      </c>
      <c r="H5" s="2">
        <v>1605.9507657306001</v>
      </c>
      <c r="I5" s="15">
        <v>17768.587289957199</v>
      </c>
    </row>
    <row r="6" spans="1:9" x14ac:dyDescent="0.2">
      <c r="A6" s="2" t="s">
        <v>53</v>
      </c>
      <c r="B6" s="13" t="s">
        <v>45</v>
      </c>
      <c r="C6" s="13" t="s">
        <v>45</v>
      </c>
      <c r="D6" s="4">
        <v>1358012.517</v>
      </c>
      <c r="E6" s="15">
        <v>565108.81019999995</v>
      </c>
      <c r="F6" s="15">
        <v>603403.57528539805</v>
      </c>
      <c r="G6" s="2">
        <v>616.27108945443479</v>
      </c>
      <c r="H6" s="2">
        <v>1873.06795217438</v>
      </c>
      <c r="I6" s="15">
        <v>19064.860213103999</v>
      </c>
    </row>
    <row r="7" spans="1:9" x14ac:dyDescent="0.2">
      <c r="A7" s="2" t="s">
        <v>54</v>
      </c>
      <c r="B7" s="13" t="s">
        <v>45</v>
      </c>
      <c r="C7" s="13" t="s">
        <v>45</v>
      </c>
      <c r="D7" s="4">
        <v>1470168.4979999999</v>
      </c>
      <c r="E7" s="15">
        <v>580742.83620000002</v>
      </c>
      <c r="F7" s="15">
        <v>593328.23753128306</v>
      </c>
      <c r="G7" s="2">
        <v>572.07340440507483</v>
      </c>
      <c r="H7" s="2">
        <v>1944.8003702512499</v>
      </c>
      <c r="I7" s="15">
        <v>19816.221105245</v>
      </c>
    </row>
    <row r="8" spans="1:9" x14ac:dyDescent="0.2">
      <c r="A8" s="2" t="s">
        <v>55</v>
      </c>
      <c r="B8" s="13" t="s">
        <v>45</v>
      </c>
      <c r="C8" s="13" t="s">
        <v>45</v>
      </c>
      <c r="D8" s="4">
        <v>1435487.686</v>
      </c>
      <c r="E8" s="15">
        <v>559533.77910000004</v>
      </c>
      <c r="F8" s="15">
        <v>580069.01603564702</v>
      </c>
      <c r="G8" s="2">
        <v>616.14321507966679</v>
      </c>
      <c r="H8" s="2">
        <v>1607.8154872755199</v>
      </c>
      <c r="I8" s="15">
        <v>19088.0425927492</v>
      </c>
    </row>
    <row r="9" spans="1:9" x14ac:dyDescent="0.2">
      <c r="A9" s="2" t="s">
        <v>56</v>
      </c>
      <c r="B9" s="13" t="s">
        <v>45</v>
      </c>
      <c r="C9" s="13" t="s">
        <v>45</v>
      </c>
      <c r="D9" s="4">
        <v>1570322.692</v>
      </c>
      <c r="E9" s="15">
        <v>601272.27170000004</v>
      </c>
      <c r="F9" s="15">
        <v>590899.46267024905</v>
      </c>
      <c r="G9" s="2">
        <v>595.22109992443814</v>
      </c>
      <c r="H9" s="2">
        <v>2095.64970008418</v>
      </c>
      <c r="I9" s="15">
        <v>18088.021347959701</v>
      </c>
    </row>
    <row r="10" spans="1:9" x14ac:dyDescent="0.2">
      <c r="A10" s="2" t="s">
        <v>57</v>
      </c>
      <c r="B10" s="13" t="s">
        <v>45</v>
      </c>
      <c r="C10" s="13" t="s">
        <v>45</v>
      </c>
      <c r="D10" s="4">
        <v>1280953.808</v>
      </c>
      <c r="E10" s="15">
        <v>556465.50630000001</v>
      </c>
      <c r="F10" s="15">
        <v>612424.33497290802</v>
      </c>
      <c r="G10" s="2">
        <v>609.95843978874996</v>
      </c>
      <c r="H10" s="2">
        <v>2046.8658984742301</v>
      </c>
      <c r="I10" s="15">
        <v>17193.779692103701</v>
      </c>
    </row>
    <row r="11" spans="1:9" x14ac:dyDescent="0.2">
      <c r="A11" s="2" t="s">
        <v>58</v>
      </c>
      <c r="B11" s="13" t="s">
        <v>45</v>
      </c>
      <c r="C11" s="13" t="s">
        <v>45</v>
      </c>
      <c r="D11" s="4">
        <v>1480951.554</v>
      </c>
      <c r="E11" s="15">
        <v>592701.83389999997</v>
      </c>
      <c r="F11" s="15">
        <v>602815.44989613502</v>
      </c>
      <c r="G11" s="2">
        <v>642.68359547229659</v>
      </c>
      <c r="H11" s="2">
        <v>1964.4785768542099</v>
      </c>
      <c r="I11" s="15">
        <v>17748.208345008599</v>
      </c>
    </row>
    <row r="12" spans="1:9" x14ac:dyDescent="0.2">
      <c r="A12" s="2" t="s">
        <v>59</v>
      </c>
      <c r="B12" s="13" t="s">
        <v>45</v>
      </c>
      <c r="C12" s="13" t="s">
        <v>45</v>
      </c>
      <c r="D12" s="4">
        <v>1563011.7649999999</v>
      </c>
      <c r="E12" s="15">
        <v>637860.63410000002</v>
      </c>
      <c r="F12" s="15">
        <v>629163.69897324406</v>
      </c>
      <c r="G12" s="2">
        <v>637.98745517487464</v>
      </c>
      <c r="H12" s="2">
        <v>2130.8609520050099</v>
      </c>
      <c r="I12" s="15">
        <v>18557.463379806501</v>
      </c>
    </row>
    <row r="13" spans="1:9" x14ac:dyDescent="0.2">
      <c r="A13" s="2" t="s">
        <v>60</v>
      </c>
      <c r="B13" s="13" t="s">
        <v>45</v>
      </c>
      <c r="C13" s="13" t="s">
        <v>45</v>
      </c>
      <c r="D13" s="4">
        <v>1281137.1769999999</v>
      </c>
      <c r="E13" s="15">
        <v>516686.69760000001</v>
      </c>
      <c r="F13" s="15">
        <v>572603.49284517497</v>
      </c>
      <c r="G13" s="2">
        <v>602.16057953414543</v>
      </c>
      <c r="H13" s="2">
        <v>1834.71522784373</v>
      </c>
      <c r="I13" s="15">
        <v>21816.978990518601</v>
      </c>
    </row>
    <row r="14" spans="1:9" x14ac:dyDescent="0.2">
      <c r="A14" s="2" t="s">
        <v>61</v>
      </c>
      <c r="B14" s="2" t="s">
        <v>42</v>
      </c>
      <c r="C14" s="2" t="s">
        <v>46</v>
      </c>
      <c r="D14" s="4">
        <v>1419273.3153880001</v>
      </c>
      <c r="E14" s="15">
        <v>562284.91012000002</v>
      </c>
      <c r="F14" s="15">
        <v>586536.94528959796</v>
      </c>
      <c r="G14" s="2">
        <v>502.97671618140726</v>
      </c>
      <c r="H14" s="2">
        <v>1726.46825533436</v>
      </c>
      <c r="I14" s="15">
        <v>16635.939231809101</v>
      </c>
    </row>
    <row r="15" spans="1:9" x14ac:dyDescent="0.2">
      <c r="A15" s="2" t="s">
        <v>62</v>
      </c>
      <c r="B15" s="2" t="s">
        <v>42</v>
      </c>
      <c r="C15" s="2" t="s">
        <v>46</v>
      </c>
      <c r="D15" s="4">
        <v>1705880.5832730001</v>
      </c>
      <c r="E15" s="15">
        <v>542933.09795600001</v>
      </c>
      <c r="F15" s="15">
        <v>501486.53694793599</v>
      </c>
      <c r="G15" s="2">
        <v>554.43019758535627</v>
      </c>
      <c r="H15" s="2">
        <v>1944.56509088844</v>
      </c>
      <c r="I15" s="15">
        <v>23211.1244013551</v>
      </c>
    </row>
    <row r="16" spans="1:9" x14ac:dyDescent="0.2">
      <c r="A16" s="2" t="s">
        <v>63</v>
      </c>
      <c r="B16" s="2" t="s">
        <v>42</v>
      </c>
      <c r="C16" s="2" t="s">
        <v>46</v>
      </c>
      <c r="D16" s="4">
        <v>1666513.452571</v>
      </c>
      <c r="E16" s="15">
        <v>584443.52138199995</v>
      </c>
      <c r="F16" s="15">
        <v>552021.03447278903</v>
      </c>
      <c r="G16" s="2">
        <v>492.12213266208636</v>
      </c>
      <c r="H16" s="2">
        <v>1754.9801818455001</v>
      </c>
      <c r="I16" s="15">
        <v>15849.9887052346</v>
      </c>
    </row>
    <row r="17" spans="1:9" x14ac:dyDescent="0.2">
      <c r="A17" s="2" t="s">
        <v>64</v>
      </c>
      <c r="B17" s="2" t="s">
        <v>42</v>
      </c>
      <c r="C17" s="2" t="s">
        <v>46</v>
      </c>
      <c r="D17" s="4">
        <v>1373172.812592</v>
      </c>
      <c r="E17" s="15">
        <v>491258.39678800001</v>
      </c>
      <c r="F17" s="15">
        <v>526077.98782989697</v>
      </c>
      <c r="G17" s="2">
        <v>479.10496083098877</v>
      </c>
      <c r="H17" s="2">
        <v>1711.5630722568501</v>
      </c>
      <c r="I17" s="15">
        <v>17068.6140469559</v>
      </c>
    </row>
    <row r="18" spans="1:9" x14ac:dyDescent="0.2">
      <c r="A18" s="2" t="s">
        <v>65</v>
      </c>
      <c r="B18" s="2" t="s">
        <v>42</v>
      </c>
      <c r="C18" s="2" t="s">
        <v>46</v>
      </c>
      <c r="D18" s="4">
        <v>1431654.8364250001</v>
      </c>
      <c r="E18" s="15">
        <v>484959.50047899998</v>
      </c>
      <c r="F18" s="15">
        <v>506373.33633607603</v>
      </c>
      <c r="G18" s="2">
        <v>411.30969166741414</v>
      </c>
      <c r="H18" s="2">
        <v>1868.6019682710901</v>
      </c>
      <c r="I18" s="15">
        <v>18903.4425062312</v>
      </c>
    </row>
    <row r="19" spans="1:9" x14ac:dyDescent="0.2">
      <c r="A19" s="2" t="s">
        <v>66</v>
      </c>
      <c r="B19" s="2" t="s">
        <v>42</v>
      </c>
      <c r="C19" s="2" t="s">
        <v>46</v>
      </c>
      <c r="D19" s="4">
        <v>1687445.713095</v>
      </c>
      <c r="E19" s="15">
        <v>519108.77647500002</v>
      </c>
      <c r="F19" s="15">
        <v>481888.01581160101</v>
      </c>
      <c r="G19" s="2">
        <v>504.36214713443684</v>
      </c>
      <c r="H19" s="2">
        <v>1844.1625184686</v>
      </c>
      <c r="I19" s="15">
        <v>17670.670348175299</v>
      </c>
    </row>
    <row r="20" spans="1:9" x14ac:dyDescent="0.2">
      <c r="A20" s="2" t="s">
        <v>67</v>
      </c>
      <c r="B20" s="2" t="s">
        <v>42</v>
      </c>
      <c r="C20" s="2" t="s">
        <v>46</v>
      </c>
      <c r="D20" s="4">
        <v>1743688.7000480001</v>
      </c>
      <c r="E20" s="15">
        <v>580446.40690099995</v>
      </c>
      <c r="F20" s="15">
        <v>530333.14244689699</v>
      </c>
      <c r="G20" s="2">
        <v>508.55270150921729</v>
      </c>
      <c r="H20" s="2">
        <v>1535.2371625863</v>
      </c>
      <c r="I20" s="15">
        <v>16187.270590636301</v>
      </c>
    </row>
    <row r="21" spans="1:9" x14ac:dyDescent="0.2">
      <c r="A21" s="2" t="s">
        <v>68</v>
      </c>
      <c r="B21" s="2" t="s">
        <v>42</v>
      </c>
      <c r="C21" s="2" t="s">
        <v>46</v>
      </c>
      <c r="D21" s="4">
        <v>1589552.4233579999</v>
      </c>
      <c r="E21" s="15">
        <v>538125.72279000003</v>
      </c>
      <c r="F21" s="15">
        <v>523344.90846290498</v>
      </c>
      <c r="G21" s="2">
        <v>447.68416815524193</v>
      </c>
      <c r="H21" s="2">
        <v>1885.61642220419</v>
      </c>
      <c r="I21" s="15">
        <v>19249.335881052801</v>
      </c>
    </row>
    <row r="22" spans="1:9" x14ac:dyDescent="0.2">
      <c r="A22" s="2" t="s">
        <v>69</v>
      </c>
      <c r="B22" s="2" t="s">
        <v>42</v>
      </c>
      <c r="C22" s="2" t="s">
        <v>46</v>
      </c>
      <c r="D22" s="4">
        <v>1702404.067174</v>
      </c>
      <c r="E22" s="15">
        <v>585981.83967200003</v>
      </c>
      <c r="F22" s="15">
        <v>545332.19574485603</v>
      </c>
      <c r="G22" s="2">
        <v>436.81636037894441</v>
      </c>
      <c r="H22" s="2">
        <v>1693.49548193384</v>
      </c>
      <c r="I22" s="15">
        <v>25788.547781478301</v>
      </c>
    </row>
    <row r="23" spans="1:9" x14ac:dyDescent="0.2">
      <c r="A23" s="2" t="s">
        <v>70</v>
      </c>
      <c r="B23" s="2" t="s">
        <v>42</v>
      </c>
      <c r="C23" s="2" t="s">
        <v>46</v>
      </c>
      <c r="D23" s="4">
        <v>1688042.7089720001</v>
      </c>
      <c r="E23" s="15">
        <v>588903.89987900003</v>
      </c>
      <c r="F23" s="15">
        <v>551546.290658577</v>
      </c>
      <c r="G23" s="2">
        <v>510.73049848244591</v>
      </c>
      <c r="H23" s="2">
        <v>1597.0136587386</v>
      </c>
      <c r="I23" s="15">
        <v>16369.605506938</v>
      </c>
    </row>
    <row r="24" spans="1:9" x14ac:dyDescent="0.2">
      <c r="A24" s="2" t="s">
        <v>71</v>
      </c>
      <c r="B24" s="2" t="s">
        <v>42</v>
      </c>
      <c r="C24" s="2" t="s">
        <v>43</v>
      </c>
      <c r="D24" s="4">
        <v>1479322.3151809999</v>
      </c>
      <c r="E24" s="15">
        <v>684566.65402200003</v>
      </c>
      <c r="F24" s="15">
        <v>695053.73822791304</v>
      </c>
      <c r="G24" s="2">
        <v>587.5185806573196</v>
      </c>
      <c r="H24" s="2">
        <v>1864.8427319496</v>
      </c>
      <c r="I24" s="15">
        <v>18769.461641648399</v>
      </c>
    </row>
    <row r="25" spans="1:9" x14ac:dyDescent="0.2">
      <c r="A25" s="2" t="s">
        <v>72</v>
      </c>
      <c r="B25" s="2" t="s">
        <v>42</v>
      </c>
      <c r="C25" s="2" t="s">
        <v>43</v>
      </c>
      <c r="D25" s="4">
        <v>1614729.2027660001</v>
      </c>
      <c r="E25" s="15">
        <v>558910.40723000001</v>
      </c>
      <c r="F25" s="15">
        <v>538358.35382866103</v>
      </c>
      <c r="G25" s="2">
        <v>543.92556332954211</v>
      </c>
      <c r="H25" s="2">
        <v>1715.4508926666499</v>
      </c>
      <c r="I25" s="15">
        <v>15020.076964596001</v>
      </c>
    </row>
    <row r="26" spans="1:9" x14ac:dyDescent="0.2">
      <c r="A26" s="2" t="s">
        <v>73</v>
      </c>
      <c r="B26" s="2" t="s">
        <v>42</v>
      </c>
      <c r="C26" s="2" t="s">
        <v>43</v>
      </c>
      <c r="D26" s="4">
        <v>1733472.6714280001</v>
      </c>
      <c r="E26" s="15">
        <v>642259.57024899998</v>
      </c>
      <c r="F26" s="15">
        <v>594488.11221103498</v>
      </c>
      <c r="G26" s="2">
        <v>634.84257791137293</v>
      </c>
      <c r="H26" s="2">
        <v>2386.5355984254702</v>
      </c>
      <c r="I26" s="15">
        <v>20813.1781763123</v>
      </c>
    </row>
    <row r="27" spans="1:9" x14ac:dyDescent="0.2">
      <c r="A27" s="2" t="s">
        <v>74</v>
      </c>
      <c r="B27" s="2" t="s">
        <v>42</v>
      </c>
      <c r="C27" s="2" t="s">
        <v>43</v>
      </c>
      <c r="D27" s="4">
        <v>1268800.1755649999</v>
      </c>
      <c r="E27" s="15">
        <v>495059.583721</v>
      </c>
      <c r="F27" s="15">
        <v>553804.37311057502</v>
      </c>
      <c r="G27" s="2">
        <v>609.70011790416186</v>
      </c>
      <c r="H27" s="2">
        <v>2023.2355029093101</v>
      </c>
      <c r="I27" s="15">
        <v>18600.041414449599</v>
      </c>
    </row>
    <row r="28" spans="1:9" x14ac:dyDescent="0.2">
      <c r="A28" s="2" t="s">
        <v>75</v>
      </c>
      <c r="B28" s="2" t="s">
        <v>42</v>
      </c>
      <c r="C28" s="2" t="s">
        <v>43</v>
      </c>
      <c r="D28" s="4">
        <v>1608166.2505620001</v>
      </c>
      <c r="E28" s="15">
        <v>644536.86157299997</v>
      </c>
      <c r="F28" s="15">
        <v>625489.22482433601</v>
      </c>
      <c r="G28" s="2">
        <v>599.61962699641163</v>
      </c>
      <c r="H28" s="2">
        <v>1817.20643952041</v>
      </c>
      <c r="I28" s="15">
        <v>18789.842182918099</v>
      </c>
    </row>
    <row r="29" spans="1:9" x14ac:dyDescent="0.2">
      <c r="A29" s="2" t="s">
        <v>76</v>
      </c>
      <c r="B29" s="2" t="s">
        <v>42</v>
      </c>
      <c r="C29" s="2" t="s">
        <v>43</v>
      </c>
      <c r="D29" s="4">
        <v>1685138.226794</v>
      </c>
      <c r="E29" s="15">
        <v>595951.79003899998</v>
      </c>
      <c r="F29" s="15">
        <v>559259.97133786802</v>
      </c>
      <c r="G29" s="2">
        <v>584.69459074182953</v>
      </c>
      <c r="H29" s="2">
        <v>1800.57965948383</v>
      </c>
      <c r="I29" s="15">
        <v>21686.263626538999</v>
      </c>
    </row>
    <row r="30" spans="1:9" x14ac:dyDescent="0.2">
      <c r="A30" s="2" t="s">
        <v>77</v>
      </c>
      <c r="B30" s="2" t="s">
        <v>42</v>
      </c>
      <c r="C30" s="2" t="s">
        <v>43</v>
      </c>
      <c r="D30" s="4">
        <v>1621859.0873749999</v>
      </c>
      <c r="E30" s="15">
        <v>627135.42902000004</v>
      </c>
      <c r="F30" s="15">
        <v>604949.001817966</v>
      </c>
      <c r="G30" s="2">
        <v>687.64109573643668</v>
      </c>
      <c r="H30" s="2">
        <v>2124.6937331202598</v>
      </c>
      <c r="I30" s="15">
        <v>15435.507711555199</v>
      </c>
    </row>
    <row r="31" spans="1:9" x14ac:dyDescent="0.2">
      <c r="A31" s="2" t="s">
        <v>78</v>
      </c>
      <c r="B31" s="2" t="s">
        <v>42</v>
      </c>
      <c r="C31" s="2" t="s">
        <v>43</v>
      </c>
      <c r="D31" s="4">
        <v>1217489.5818719999</v>
      </c>
      <c r="E31" s="15">
        <v>419757.44966500002</v>
      </c>
      <c r="F31" s="15">
        <v>490264.097012849</v>
      </c>
      <c r="G31" s="2">
        <v>561.16211068463986</v>
      </c>
      <c r="H31" s="2">
        <v>1682.50161710817</v>
      </c>
      <c r="I31" s="15">
        <v>18640.445093775801</v>
      </c>
    </row>
    <row r="32" spans="1:9" x14ac:dyDescent="0.2">
      <c r="A32" s="2" t="s">
        <v>79</v>
      </c>
      <c r="B32" s="2" t="s">
        <v>42</v>
      </c>
      <c r="C32" s="2" t="s">
        <v>43</v>
      </c>
      <c r="D32" s="4">
        <v>1487808.721011</v>
      </c>
      <c r="E32" s="15">
        <v>591769.55514900002</v>
      </c>
      <c r="F32" s="15">
        <v>600311.31203038502</v>
      </c>
      <c r="G32" s="2">
        <v>653.88705089645202</v>
      </c>
      <c r="H32" s="2">
        <v>2008.66937895765</v>
      </c>
      <c r="I32" s="15">
        <v>19158.312110036299</v>
      </c>
    </row>
    <row r="33" spans="1:9" x14ac:dyDescent="0.2">
      <c r="A33" s="2" t="s">
        <v>80</v>
      </c>
      <c r="B33" s="2" t="s">
        <v>42</v>
      </c>
      <c r="C33" s="2" t="s">
        <v>43</v>
      </c>
      <c r="D33" s="4">
        <v>1473980.7286720001</v>
      </c>
      <c r="E33" s="15">
        <v>585879.54366900004</v>
      </c>
      <c r="F33" s="15">
        <v>597591.07252208702</v>
      </c>
      <c r="G33" s="2">
        <v>644.87669142470747</v>
      </c>
      <c r="H33" s="2">
        <v>1914.64883405207</v>
      </c>
      <c r="I33" s="15">
        <v>19599.468649362301</v>
      </c>
    </row>
    <row r="34" spans="1:9" x14ac:dyDescent="0.2">
      <c r="A34" s="2" t="s">
        <v>81</v>
      </c>
      <c r="B34" s="2" t="s">
        <v>42</v>
      </c>
      <c r="C34" s="2" t="s">
        <v>43</v>
      </c>
      <c r="D34" s="4">
        <v>1555219.2986630001</v>
      </c>
      <c r="E34" s="15">
        <v>571427.72204699996</v>
      </c>
      <c r="F34" s="15">
        <v>564517.04343383701</v>
      </c>
      <c r="G34" s="2">
        <v>473.1393107560645</v>
      </c>
      <c r="H34" s="2">
        <v>2054.2075532335398</v>
      </c>
      <c r="I34" s="15">
        <v>15346.5846021502</v>
      </c>
    </row>
    <row r="35" spans="1:9" x14ac:dyDescent="0.2">
      <c r="A35" s="2" t="s">
        <v>82</v>
      </c>
      <c r="B35" s="2" t="s">
        <v>42</v>
      </c>
      <c r="C35" s="2" t="s">
        <v>43</v>
      </c>
      <c r="D35" s="4">
        <v>1718268.77253</v>
      </c>
      <c r="E35" s="15">
        <v>615837.620842</v>
      </c>
      <c r="F35" s="15">
        <v>571551.33197436703</v>
      </c>
      <c r="G35" s="2">
        <v>521.80172821713074</v>
      </c>
      <c r="H35" s="2">
        <v>1400.5552716940099</v>
      </c>
      <c r="I35" s="15">
        <v>18130.147647188202</v>
      </c>
    </row>
    <row r="36" spans="1:9" x14ac:dyDescent="0.2">
      <c r="A36" s="2" t="s">
        <v>83</v>
      </c>
      <c r="B36" s="2" t="s">
        <v>42</v>
      </c>
      <c r="C36" s="2" t="s">
        <v>43</v>
      </c>
      <c r="D36" s="4">
        <v>1639341.2235059999</v>
      </c>
      <c r="E36" s="15">
        <v>613368.60088599997</v>
      </c>
      <c r="F36" s="15">
        <v>587174.76727564598</v>
      </c>
      <c r="G36" s="2">
        <v>535.72911533430863</v>
      </c>
      <c r="H36" s="2">
        <v>1853.24487256254</v>
      </c>
      <c r="I36" s="15">
        <v>19311.1959947709</v>
      </c>
    </row>
    <row r="37" spans="1:9" x14ac:dyDescent="0.2">
      <c r="A37" s="2" t="s">
        <v>84</v>
      </c>
      <c r="B37" s="2" t="s">
        <v>42</v>
      </c>
      <c r="C37" s="2" t="s">
        <v>43</v>
      </c>
      <c r="D37" s="4">
        <v>1784363.5809839999</v>
      </c>
      <c r="E37" s="15">
        <v>671152.99091099994</v>
      </c>
      <c r="F37" s="15">
        <v>611715.87854156503</v>
      </c>
      <c r="G37" s="2">
        <v>661.28057833017317</v>
      </c>
      <c r="H37" s="2">
        <v>2083.4872368218598</v>
      </c>
      <c r="I37" s="15">
        <v>19256.511332795599</v>
      </c>
    </row>
    <row r="38" spans="1:9" x14ac:dyDescent="0.2">
      <c r="A38" s="2" t="s">
        <v>85</v>
      </c>
      <c r="B38" s="2" t="s">
        <v>42</v>
      </c>
      <c r="C38" s="2" t="s">
        <v>43</v>
      </c>
      <c r="D38" s="4">
        <v>1532622.266964</v>
      </c>
      <c r="E38" s="15">
        <v>604986.59310299996</v>
      </c>
      <c r="F38" s="15">
        <v>603255.801487686</v>
      </c>
      <c r="G38" s="2">
        <v>613.06814849075693</v>
      </c>
      <c r="H38" s="2">
        <v>1914.3323807202501</v>
      </c>
      <c r="I38" s="15">
        <v>19236.282697135201</v>
      </c>
    </row>
    <row r="39" spans="1:9" x14ac:dyDescent="0.2">
      <c r="A39" s="2" t="s">
        <v>86</v>
      </c>
      <c r="B39" s="2" t="s">
        <v>42</v>
      </c>
      <c r="C39" s="2" t="s">
        <v>43</v>
      </c>
      <c r="D39" s="4">
        <v>1556298.7187020001</v>
      </c>
      <c r="E39" s="15">
        <v>645886.51440099999</v>
      </c>
      <c r="F39" s="15">
        <v>638728.40179297805</v>
      </c>
      <c r="G39" s="2">
        <v>666.56032379592125</v>
      </c>
      <c r="H39" s="2">
        <v>2074.8916784900998</v>
      </c>
      <c r="I39" s="15">
        <v>20565.5299511958</v>
      </c>
    </row>
    <row r="40" spans="1:9" x14ac:dyDescent="0.2">
      <c r="A40" s="2" t="s">
        <v>87</v>
      </c>
      <c r="B40" s="2" t="s">
        <v>42</v>
      </c>
      <c r="C40" s="2" t="s">
        <v>43</v>
      </c>
      <c r="D40" s="4">
        <v>1645056.6730150001</v>
      </c>
      <c r="E40" s="15">
        <v>632830.73359700001</v>
      </c>
      <c r="F40" s="15">
        <v>605326.75522989698</v>
      </c>
      <c r="G40" s="2">
        <v>651.73421644554753</v>
      </c>
      <c r="H40" s="2">
        <v>2104.7334586004199</v>
      </c>
      <c r="I40" s="15">
        <v>17142.802073256302</v>
      </c>
    </row>
  </sheetData>
  <conditionalFormatting sqref="A12:A25">
    <cfRule type="duplicateValues" dxfId="1" priority="2"/>
  </conditionalFormatting>
  <conditionalFormatting sqref="A38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671A-A5C0-EC45-90CA-B053F7BF4245}">
  <dimension ref="A1:C43"/>
  <sheetViews>
    <sheetView tabSelected="1" topLeftCell="A20" workbookViewId="0">
      <selection activeCell="B49" sqref="B49"/>
    </sheetView>
  </sheetViews>
  <sheetFormatPr baseColWidth="10" defaultRowHeight="16" x14ac:dyDescent="0.2"/>
  <cols>
    <col min="1" max="1" width="57.33203125" customWidth="1"/>
    <col min="2" max="2" width="128.83203125" customWidth="1"/>
    <col min="3" max="3" width="141.1640625" customWidth="1"/>
  </cols>
  <sheetData>
    <row r="1" spans="1:3" x14ac:dyDescent="0.2">
      <c r="A1" s="20" t="s">
        <v>91</v>
      </c>
    </row>
    <row r="2" spans="1:3" x14ac:dyDescent="0.2">
      <c r="A2" s="19" t="s">
        <v>92</v>
      </c>
      <c r="B2" s="19" t="s">
        <v>93</v>
      </c>
      <c r="C2" s="19" t="s">
        <v>124</v>
      </c>
    </row>
    <row r="3" spans="1:3" x14ac:dyDescent="0.2">
      <c r="A3" s="21" t="s">
        <v>47</v>
      </c>
      <c r="B3" t="s">
        <v>113</v>
      </c>
    </row>
    <row r="4" spans="1:3" x14ac:dyDescent="0.2">
      <c r="A4" s="21" t="s">
        <v>2</v>
      </c>
      <c r="B4" t="s">
        <v>114</v>
      </c>
    </row>
    <row r="5" spans="1:3" x14ac:dyDescent="0.2">
      <c r="A5" t="s">
        <v>3</v>
      </c>
      <c r="B5" t="s">
        <v>115</v>
      </c>
    </row>
    <row r="6" spans="1:3" x14ac:dyDescent="0.2">
      <c r="A6" t="s">
        <v>4</v>
      </c>
      <c r="B6" t="s">
        <v>116</v>
      </c>
    </row>
    <row r="7" spans="1:3" x14ac:dyDescent="0.2">
      <c r="A7" t="s">
        <v>7</v>
      </c>
      <c r="B7" t="s">
        <v>117</v>
      </c>
    </row>
    <row r="8" spans="1:3" x14ac:dyDescent="0.2">
      <c r="A8" s="20" t="s">
        <v>94</v>
      </c>
    </row>
    <row r="9" spans="1:3" x14ac:dyDescent="0.2">
      <c r="A9" s="19" t="s">
        <v>92</v>
      </c>
      <c r="B9" s="19" t="s">
        <v>93</v>
      </c>
    </row>
    <row r="10" spans="1:3" x14ac:dyDescent="0.2">
      <c r="A10" t="s">
        <v>10</v>
      </c>
      <c r="B10" t="s">
        <v>118</v>
      </c>
    </row>
    <row r="11" spans="1:3" x14ac:dyDescent="0.2">
      <c r="A11" t="s">
        <v>90</v>
      </c>
      <c r="B11" t="s">
        <v>119</v>
      </c>
    </row>
    <row r="12" spans="1:3" x14ac:dyDescent="0.2">
      <c r="A12" t="s">
        <v>11</v>
      </c>
      <c r="B12" t="s">
        <v>120</v>
      </c>
    </row>
    <row r="13" spans="1:3" x14ac:dyDescent="0.2">
      <c r="A13" t="s">
        <v>18</v>
      </c>
      <c r="B13" t="s">
        <v>121</v>
      </c>
    </row>
    <row r="14" spans="1:3" ht="85" x14ac:dyDescent="0.2">
      <c r="A14" t="s">
        <v>95</v>
      </c>
      <c r="B14" s="24" t="s">
        <v>134</v>
      </c>
    </row>
    <row r="15" spans="1:3" ht="119" x14ac:dyDescent="0.2">
      <c r="A15" t="s">
        <v>48</v>
      </c>
      <c r="B15" s="24" t="s">
        <v>122</v>
      </c>
    </row>
    <row r="16" spans="1:3" ht="51" x14ac:dyDescent="0.2">
      <c r="A16" t="s">
        <v>16</v>
      </c>
      <c r="B16" s="24" t="s">
        <v>125</v>
      </c>
    </row>
    <row r="17" spans="1:3" ht="68" x14ac:dyDescent="0.2">
      <c r="A17" t="s">
        <v>96</v>
      </c>
      <c r="B17" s="24" t="s">
        <v>127</v>
      </c>
    </row>
    <row r="18" spans="1:3" ht="51" x14ac:dyDescent="0.2">
      <c r="A18" t="s">
        <v>97</v>
      </c>
      <c r="B18" s="24" t="s">
        <v>126</v>
      </c>
    </row>
    <row r="19" spans="1:3" x14ac:dyDescent="0.2">
      <c r="A19" s="20" t="s">
        <v>98</v>
      </c>
    </row>
    <row r="20" spans="1:3" x14ac:dyDescent="0.2">
      <c r="A20" s="19" t="s">
        <v>92</v>
      </c>
      <c r="B20" s="19" t="s">
        <v>93</v>
      </c>
    </row>
    <row r="21" spans="1:3" ht="17" x14ac:dyDescent="0.2">
      <c r="A21" t="s">
        <v>6</v>
      </c>
      <c r="B21" s="24" t="s">
        <v>123</v>
      </c>
    </row>
    <row r="22" spans="1:3" ht="51" x14ac:dyDescent="0.2">
      <c r="A22" t="s">
        <v>29</v>
      </c>
      <c r="B22" s="24" t="s">
        <v>128</v>
      </c>
    </row>
    <row r="23" spans="1:3" ht="51" x14ac:dyDescent="0.2">
      <c r="A23" t="s">
        <v>31</v>
      </c>
      <c r="B23" s="24" t="s">
        <v>129</v>
      </c>
    </row>
    <row r="24" spans="1:3" ht="51" x14ac:dyDescent="0.2">
      <c r="A24" t="s">
        <v>99</v>
      </c>
      <c r="B24" s="24" t="s">
        <v>130</v>
      </c>
    </row>
    <row r="25" spans="1:3" ht="51" x14ac:dyDescent="0.2">
      <c r="A25" t="s">
        <v>100</v>
      </c>
      <c r="B25" s="24" t="s">
        <v>131</v>
      </c>
    </row>
    <row r="26" spans="1:3" ht="51" x14ac:dyDescent="0.2">
      <c r="A26" t="s">
        <v>101</v>
      </c>
      <c r="B26" s="24" t="s">
        <v>132</v>
      </c>
    </row>
    <row r="27" spans="1:3" ht="51" x14ac:dyDescent="0.2">
      <c r="A27" t="s">
        <v>102</v>
      </c>
      <c r="B27" s="24" t="s">
        <v>133</v>
      </c>
    </row>
    <row r="28" spans="1:3" x14ac:dyDescent="0.2">
      <c r="A28" s="20" t="s">
        <v>103</v>
      </c>
    </row>
    <row r="29" spans="1:3" x14ac:dyDescent="0.2">
      <c r="A29" s="19" t="s">
        <v>92</v>
      </c>
      <c r="B29" s="19" t="s">
        <v>93</v>
      </c>
    </row>
    <row r="30" spans="1:3" ht="17" x14ac:dyDescent="0.2">
      <c r="A30" s="21" t="s">
        <v>104</v>
      </c>
      <c r="B30" s="24" t="s">
        <v>143</v>
      </c>
    </row>
    <row r="31" spans="1:3" ht="34" x14ac:dyDescent="0.2">
      <c r="A31" t="s">
        <v>106</v>
      </c>
      <c r="B31" s="24" t="s">
        <v>148</v>
      </c>
      <c r="C31" t="s">
        <v>149</v>
      </c>
    </row>
    <row r="32" spans="1:3" ht="17" x14ac:dyDescent="0.2">
      <c r="A32" t="s">
        <v>26</v>
      </c>
      <c r="B32" s="24" t="s">
        <v>144</v>
      </c>
    </row>
    <row r="33" spans="1:3" ht="17" x14ac:dyDescent="0.2">
      <c r="A33" t="s">
        <v>27</v>
      </c>
      <c r="B33" s="24" t="s">
        <v>145</v>
      </c>
    </row>
    <row r="34" spans="1:3" ht="17" x14ac:dyDescent="0.2">
      <c r="A34" t="s">
        <v>28</v>
      </c>
      <c r="B34" s="24" t="s">
        <v>146</v>
      </c>
    </row>
    <row r="35" spans="1:3" ht="17" x14ac:dyDescent="0.2">
      <c r="A35" t="s">
        <v>8</v>
      </c>
      <c r="B35" s="24" t="s">
        <v>147</v>
      </c>
    </row>
    <row r="36" spans="1:3" x14ac:dyDescent="0.2">
      <c r="A36" s="20" t="s">
        <v>105</v>
      </c>
    </row>
    <row r="37" spans="1:3" x14ac:dyDescent="0.2">
      <c r="A37" s="19" t="s">
        <v>92</v>
      </c>
      <c r="B37" s="19" t="s">
        <v>93</v>
      </c>
    </row>
    <row r="38" spans="1:3" x14ac:dyDescent="0.2">
      <c r="A38" t="s">
        <v>9</v>
      </c>
      <c r="B38" t="s">
        <v>138</v>
      </c>
    </row>
    <row r="39" spans="1:3" x14ac:dyDescent="0.2">
      <c r="A39" t="s">
        <v>41</v>
      </c>
      <c r="B39" t="s">
        <v>137</v>
      </c>
    </row>
    <row r="40" spans="1:3" x14ac:dyDescent="0.2">
      <c r="A40" t="s">
        <v>89</v>
      </c>
      <c r="B40" t="s">
        <v>139</v>
      </c>
    </row>
    <row r="41" spans="1:3" x14ac:dyDescent="0.2">
      <c r="A41" t="s">
        <v>88</v>
      </c>
      <c r="B41" t="s">
        <v>140</v>
      </c>
      <c r="C41" t="s">
        <v>150</v>
      </c>
    </row>
    <row r="42" spans="1:3" x14ac:dyDescent="0.2">
      <c r="A42" t="s">
        <v>136</v>
      </c>
      <c r="B42" t="s">
        <v>141</v>
      </c>
      <c r="C42" t="s">
        <v>151</v>
      </c>
    </row>
    <row r="43" spans="1:3" x14ac:dyDescent="0.2">
      <c r="A43" t="s">
        <v>135</v>
      </c>
      <c r="B4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Clinical Cognitive</vt:lpstr>
      <vt:lpstr>Coupling</vt:lpstr>
      <vt:lpstr>Volumes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Ignatavicius</dc:creator>
  <cp:lastModifiedBy>Anna Ignatavicius</cp:lastModifiedBy>
  <dcterms:created xsi:type="dcterms:W3CDTF">2026-07-11T05:34:48Z</dcterms:created>
  <dcterms:modified xsi:type="dcterms:W3CDTF">2026-08-03T06:18:59Z</dcterms:modified>
</cp:coreProperties>
</file>